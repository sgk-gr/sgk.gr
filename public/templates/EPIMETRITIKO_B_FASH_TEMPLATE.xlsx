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ΥΛΛΟ ΑΠΟΛΟΓΙΣΜΟΥ" sheetId="1" r:id="rId5"/>
    <sheet state="visible" name="ΥΛΙΚΑ" sheetId="2" r:id="rId6"/>
    <sheet state="visible" name="ΤΙΜΟΚΑΤΑΛΟΓΟΣ" sheetId="3" r:id="rId7"/>
    <sheet state="visible" name="ΛΟΓΑΡΙΑΣΜΟΣ" sheetId="4" r:id="rId8"/>
  </sheets>
  <definedNames>
    <definedName hidden="1" localSheetId="3" name="_xlnm._FilterDatabase">'ΛΟΓΑΡΙΑΣΜΟΣ'!$A$1:$E$1</definedName>
  </definedNames>
  <calcPr/>
</workbook>
</file>

<file path=xl/sharedStrings.xml><?xml version="1.0" encoding="utf-8"?>
<sst xmlns="http://schemas.openxmlformats.org/spreadsheetml/2006/main" count="3639" uniqueCount="2508">
  <si>
    <t>Activity Number</t>
  </si>
  <si>
    <t>ΠΙΝΑΚΑΣ ΥΛΙΚΩΝ FTTH Β &amp; Γ ΦΑΣΗ</t>
  </si>
  <si>
    <t>ΦΥΛΛΟ ΑΠΟΛΟΓΙΣΜΟΥ ΕΡΓΑΣΙΩΝ FTTH Β ΦΑΣΗΣ</t>
  </si>
  <si>
    <t>ΑΡΘΡΟ</t>
  </si>
  <si>
    <t>ΕΡΓΟΛΑΒΙΑ:</t>
  </si>
  <si>
    <t>ΠΕΡΙΓΡΑΦΗ ΕΡΓΑΣΙΩΝ</t>
  </si>
  <si>
    <t>ΜΟΝΑΔΑ ΜΕΤΡΗΣΗΣ</t>
  </si>
  <si>
    <t>ΑΝΑΠΤΥΞΗ ΥΠΟΔΟΜΩΝ ΠΡΟΣΒΑΣΗΣ ΔΙΚΤΥΟΥ ΟΠΤΙΚΩΝ ΙΝΩΝ (FTTH Β ΦΑΣΗ) &amp; ΔΙΑΣΥΝΔΕΣΗΣ ΤΟΝ ΤΕΛΙΚΟ ΧΡΗΣΤΗ (FTTH Γ ΦΑΣΗ) ΣΕ ΠΕΡΙΟΧΕΣ ΤΗΣ ΕΛΛΗΝΙΚΗΣ ΕΠΙΚΡΑΤΕΙΑΣ</t>
  </si>
  <si>
    <t>ΤΙΜΗ ΟΤΕ</t>
  </si>
  <si>
    <t>ΕΡΓΟΛΑΒΟΣ:</t>
  </si>
  <si>
    <t>ΕΡΓΑΤΗΚΑΤ</t>
  </si>
  <si>
    <t>ΠΟΣΟΤΗΤΑ</t>
  </si>
  <si>
    <t>ΥΠΟΕΡΓΟ:</t>
  </si>
  <si>
    <t>ΠΟΣΟ</t>
  </si>
  <si>
    <t>1955.I.</t>
  </si>
  <si>
    <t>ΚΑΤ ΝΕΟ ΠΕΛ ΚΑΤΑΚ ΥΠ ΟΔ FTTH KOI</t>
  </si>
  <si>
    <t xml:space="preserve">ΑΙΤΗΜΑ: </t>
  </si>
  <si>
    <t>TEM</t>
  </si>
  <si>
    <t>1955.II.</t>
  </si>
  <si>
    <t>ΔΙΕΥΘΥΝΣΗ:</t>
  </si>
  <si>
    <t>ΚΑΤ ΣΥΝΔ ΝΕΟ ΠΕΛ ΚΑΤΑΚ ΥΠ ΟΔ FTTH KOI</t>
  </si>
  <si>
    <t>1955.III.</t>
  </si>
  <si>
    <t>ΚΑΤ ΝΕΟ ΠΕΛ ΜΕΤΑ ΟΛ ΚΑΤΑΚ ΥΠ ΟΔ FTTH KOI</t>
  </si>
  <si>
    <t>979273</t>
  </si>
  <si>
    <t>ΠΕΡΙΓΡΑΦΗ ΥΛΙΚΩΝ</t>
  </si>
  <si>
    <t>ΜΟΝ. ΜΕΤΡ.</t>
  </si>
  <si>
    <t>ΚΑΥ</t>
  </si>
  <si>
    <t>1955.IV.</t>
  </si>
  <si>
    <t>ΚΑΤ ΣΥΝΔ ΝΕΟ ΠΕΛ ΜΕΤΑ ΚΑΤ ΥΠ ΟΔ FTTH KOI</t>
  </si>
  <si>
    <t>ΛΕΩΦΟΡΟΣ ΓΕΩΡΓΙΟΥ ΑΒΕΡΩΦ 101Α</t>
  </si>
  <si>
    <t>1955.V.</t>
  </si>
  <si>
    <t>ΑΠΟΚ ΣΥΝΔ ΠΕΛ ΤΟΠ ΤΕΡΜ ΟΡ ΚΑΛ ΟΡ</t>
  </si>
  <si>
    <t>Microduct 7-4mm DB</t>
  </si>
  <si>
    <t>ΜΕΤΡΟ</t>
  </si>
  <si>
    <t>ΠΕΡΙΓΡΑΦΗ ΑΡΘΡΟΥ</t>
  </si>
  <si>
    <t>Microduct  7/4 mm indoor LSZH</t>
  </si>
  <si>
    <t>ΤΙΜΗ ΜΟΝΑΔΑΣ</t>
  </si>
  <si>
    <t>14027164</t>
  </si>
  <si>
    <t>1955.VI.</t>
  </si>
  <si>
    <t>ΕΠΙΠΡΟΣΘΕΤΗ ΑΠΟΖΗΜΙΩΣΗ ΓΙΑ ΌΛΑ ΤΜΗΜΑΤΑ</t>
  </si>
  <si>
    <t>Microduct Μde -D- 8/10mm</t>
  </si>
  <si>
    <t>Multiduct  flat 6x7/4 mm indoor LSZH</t>
  </si>
  <si>
    <t>14027165</t>
  </si>
  <si>
    <t>ΤΑΠΕΣ ΣΩΛΗΝΙΣΚΩΝ ΠΟΛΥΣΩΛΗΝΙΟΥ D=10/12mm</t>
  </si>
  <si>
    <t>ΤΕΜΑΧΙΟ</t>
  </si>
  <si>
    <t>1956.I.</t>
  </si>
  <si>
    <t>ΑΥΤΟΨ ΜΕΣ ΜΕΓ ΚΤ ΑΝAM FTTH ΚΛ ΔΙΑΝ BCP</t>
  </si>
  <si>
    <t>ΣΥΝΔΕΣΜΟΙ ΣΩΛΗΝΙΣΚΩΝ ΠΟΛΥΣΩΛΗΝ D=10/12mm</t>
  </si>
  <si>
    <t>Microduct Μde -D- 10/12mm</t>
  </si>
  <si>
    <t>1956.i</t>
  </si>
  <si>
    <t>ΑΥΤΟΨΙΑ ΣΕ ΚΤΙΡΙΟ (SITE SURVEY) ΣΕ ΜΕΣΑΙΑ ΚΑΙ ΜΕΓΑΛΑ ΚΤΗΡΙΑ ΚΤΗΡΙΑ</t>
  </si>
  <si>
    <t>Straight connector 7-4mm DB</t>
  </si>
  <si>
    <t>1956.II.</t>
  </si>
  <si>
    <t>Endcaps 7-4mm</t>
  </si>
  <si>
    <t>ΑΥΤΟΨ ΜΙΚΡΟ ΚΤ ΑΝAM FTTH ΚΛ ΔΙΑΝ BCP</t>
  </si>
  <si>
    <t>END CAPS 8/10mm</t>
  </si>
  <si>
    <t>Individual divisible sealing 7/2,5mm</t>
  </si>
  <si>
    <t>1000.1.I.α.   Μ/Τ ΠΛ ΣΤ 8Χ30cm ΕΠΑΝ ΑΣΦΑΛΤΟΣήΣΚΥΡ FTTH</t>
  </si>
  <si>
    <t>Patchcord SC/APC-SC/APC 2M G.657A1/A2</t>
  </si>
  <si>
    <t>1957.I.</t>
  </si>
  <si>
    <t>ΥΛ ΥΠ FTTH ΚΤ ΕΩΣ2 ΕΠ SMART READ VOUCHER</t>
  </si>
  <si>
    <t>Patchcord SC/APC-SC/APC 3M G.657A1/A2</t>
  </si>
  <si>
    <t>1956.ii</t>
  </si>
  <si>
    <t>ΑΥΤΟΨΙΑ ΣΕ ΚΤΙΡΙΟ (SITE SURVEY) ΣΕ ΜΙΚΡΑ ΚΤΗΡΙΑ (έως 4 διεπαφές και κατανεμημένες σε έως 2 επίπεδα)</t>
  </si>
  <si>
    <t>Patchcord SC/APC-SC/APC 4M G.657A1/A2</t>
  </si>
  <si>
    <t>1957.II.</t>
  </si>
  <si>
    <t>ΥΛ ΥΠ FTTH ΚΤ 3 ΕΠ SMART READ VOUCHER</t>
  </si>
  <si>
    <t>Ενδεικτικό Πλέγμα Σήμανσης 20cm Ανιχευσ.</t>
  </si>
  <si>
    <t>1000.1.I.β.   Μ/Τ ΠΛ ΣΤ 8Χ45,10Χ45-50cm ΕΠΑΝ ΑΣΦΑ FTTH</t>
  </si>
  <si>
    <t>Small BMO</t>
  </si>
  <si>
    <t>Medium BMO</t>
  </si>
  <si>
    <t>1963.i.</t>
  </si>
  <si>
    <t>ΕΠΕΚΤ ΣΩΛ ΔΙΑΝ FTTH-ΕΣΚΑΛ ΥΦ ΥΠ ΤΦΡ &lt;5m</t>
  </si>
  <si>
    <t>1957.III.</t>
  </si>
  <si>
    <t>ΥΛ ΥΠ FTTH ΚΤ 4ΑΝΩ ΕΠ SMART READ VOUCHER</t>
  </si>
  <si>
    <t>Large BMO</t>
  </si>
  <si>
    <t>Small BEP</t>
  </si>
  <si>
    <t>14029065</t>
  </si>
  <si>
    <t>Small BEP with 1 splitter preinstalled</t>
  </si>
  <si>
    <t>14028868</t>
  </si>
  <si>
    <t>Medium BEP</t>
  </si>
  <si>
    <t>14029066</t>
  </si>
  <si>
    <t>1963.ii.</t>
  </si>
  <si>
    <t>Medium BEP with 1 splitter preinstalled</t>
  </si>
  <si>
    <t>ΕΠΕΚΤ ΣΩΛ ΔΙΑΝ FTTH-ΕΣΚΑΛ ΥΦ ΥΠ ΤΦΡ &lt;15m</t>
  </si>
  <si>
    <t>1957.IV.</t>
  </si>
  <si>
    <t>14028869</t>
  </si>
  <si>
    <t>ΥΛ ΥΠ FTTH ΚΤ ΕΩΣ 2 ΕΠ SM.R.V.KYA</t>
  </si>
  <si>
    <t>Large BEP with 1 splitter preinstalled</t>
  </si>
  <si>
    <t>X-Large BEP with 1 splitter preinstalled</t>
  </si>
  <si>
    <t>14028871</t>
  </si>
  <si>
    <t>1965.i.</t>
  </si>
  <si>
    <t>1957.V.</t>
  </si>
  <si>
    <t>ΕΠΕΚ ΣΩΛ ΔΙΑΝ FTTH-ΠΕΛΑΤ ΝΕΑ ΥΠ ΔΙΑΝ &lt;5m</t>
  </si>
  <si>
    <t>ΥΛ ΥΠ FTTH ΚΤ 3 ΕΠ SM.R.V.KYA</t>
  </si>
  <si>
    <t>BEP PLC SPLITTERS  1:2 </t>
  </si>
  <si>
    <t>14029061</t>
  </si>
  <si>
    <t>BEP PLC SPLITTERS  1:8 </t>
  </si>
  <si>
    <t>1000.1.I.γ.   Μ/Τ ΠΛ ΣΤ 16Χ45-16Χ50cm ΕΠΑΝ ΑΣΦΑΛΤ FTTH</t>
  </si>
  <si>
    <t>14029062</t>
  </si>
  <si>
    <t>Floor-box with 2 adapters</t>
  </si>
  <si>
    <t>1957.VI.</t>
  </si>
  <si>
    <t>ΥΛ ΥΠ FTTH ΚΤ 4-6 ΕΠ SM.R.V.KYA</t>
  </si>
  <si>
    <t>14028873</t>
  </si>
  <si>
    <t>1965.ii.</t>
  </si>
  <si>
    <t>ΕΠΕΚ ΣΩΛ ΔΙΑΝ FTTH-ΠΕΛΑΤ ΝΕΑ ΥΠ ΔΙΑΝ&lt;15m</t>
  </si>
  <si>
    <t>Floor-box with 4 adapters</t>
  </si>
  <si>
    <t>Floor-box with 6 adapters</t>
  </si>
  <si>
    <t>14028872</t>
  </si>
  <si>
    <t>Floor-box with 12 adapters</t>
  </si>
  <si>
    <t>1000.1.I.δ.   Μ/Τ ΠΛ ΣΤ 16Χ55-16Χ60cm ΕΠΑΝ ΑΣΦΑΛΤ FTTH</t>
  </si>
  <si>
    <t>1957.VII.</t>
  </si>
  <si>
    <t>ΥΛ ΥΠ FTTH ΚΤ 7ΑΝΩ ΕΠ SM.R.V.KYA</t>
  </si>
  <si>
    <t>OTO Fiber outlets SC/APC</t>
  </si>
  <si>
    <t>14028924</t>
  </si>
  <si>
    <t>Prefibered OTO 20m O2a-5941</t>
  </si>
  <si>
    <t>1965.iii.</t>
  </si>
  <si>
    <t>14029175</t>
  </si>
  <si>
    <t>ΕΠΕΚ ΣΩΛ ΔΙΑΝ FTTH-ΠΕΛΑΤ ΝΕΑ ΥΠ ΔΙΑΝ&lt;30m</t>
  </si>
  <si>
    <t>Prefibered OTO 30m O2b-5941</t>
  </si>
  <si>
    <t>14029176</t>
  </si>
  <si>
    <t>4 FO outdoor induct micro cable  G657A</t>
  </si>
  <si>
    <t>1959.I.</t>
  </si>
  <si>
    <t>1000.1.I.ε.   Μ/Τ ΧΩΡ ΠΛ ΣΤ 5Χ30-6Χ30cm ΕΠΑΝ ΑΣΦΑ FTTH</t>
  </si>
  <si>
    <t>14027440</t>
  </si>
  <si>
    <t>ΣΥΝ ΖΕΥΓ ΣΥΣ Ghn ΧΑΛ ΕΝΤΟΣ ΚΤ/PIL ΕΝ ΥΠ</t>
  </si>
  <si>
    <t>12 FO outdoor induct micro cable  G657A</t>
  </si>
  <si>
    <t>14027441</t>
  </si>
  <si>
    <t>1965.iv.</t>
  </si>
  <si>
    <t>ΕΠΕΚ ΣΩΛ ΔΙΑΝ FTTH-ΠΕΛΑΤ ΝΕΑ ΥΠ ΔΙΑΝ&lt;60m</t>
  </si>
  <si>
    <t>2 FO indoor micro cable LSZH G657A</t>
  </si>
  <si>
    <t>14027439</t>
  </si>
  <si>
    <t>4 FO indoor micro cable LSZH G657A</t>
  </si>
  <si>
    <t>1000.1.I.στ.   Μ/Τ ΧΩΡ ΠΛ ΣΤ 5Χ45-6Χ45cm ΕΠΑΝ ΑΣΦΑ FTTH</t>
  </si>
  <si>
    <t>14027437</t>
  </si>
  <si>
    <t>1959.II.</t>
  </si>
  <si>
    <t>ΣΥΝ ΖΕΥΓ ΣΥΣ Ghn ΕΚΤΟΣ ΚΤ ΣΤΥΛ ΕΝ ΥΠ</t>
  </si>
  <si>
    <t>12 FO indoor micro cable LSZH G657A</t>
  </si>
  <si>
    <t>14027438</t>
  </si>
  <si>
    <t>Pigtail SC/APC 10m G.657A1/A2 LSZH 2mmOD</t>
  </si>
  <si>
    <t>1965.V.</t>
  </si>
  <si>
    <t>14028926</t>
  </si>
  <si>
    <t>ΕΠ ΤΟΠ 2 ΣΩΛ ΕΠΕΚΤ ΚΛ ΔΙΑΝ FTTH ΕΩΣ 5Μ</t>
  </si>
  <si>
    <t>Pigtail SC/APC 20M G.657A1/A2 LSZH 2mmOD</t>
  </si>
  <si>
    <t>1965.I.</t>
  </si>
  <si>
    <t>14028927</t>
  </si>
  <si>
    <t>ΕΠΕΚ ΥΠ ΣΩΛ ΚΑΤ ΝΕΑ ΣΩΛ ΜΕ ΕΠΑΥΞ ΕΩΣ 5Μ</t>
  </si>
  <si>
    <t>Pigtail SC/APC 30M G.657A1/A2 LSZH 2mmOD</t>
  </si>
  <si>
    <t>14028928</t>
  </si>
  <si>
    <t>Pigtail SC/APC 1,5M G.657A1/A2</t>
  </si>
  <si>
    <t>14028925</t>
  </si>
  <si>
    <t>Ball marker</t>
  </si>
  <si>
    <t>1965.VI.</t>
  </si>
  <si>
    <t>14026593</t>
  </si>
  <si>
    <t>ΕΠ ΤΟΠ 2 ΣΩΛ ΕΠΕΚΤ ΚΛ ΔΙΑΝ FTTH ΕΩΣ 15Μ</t>
  </si>
  <si>
    <t>1965.II.</t>
  </si>
  <si>
    <t>ΣΙΔΗΡΟΣΩΛΗΝΑΣ ΓΑΛΒΑΝΙΖΕ D=3/4΄΄mm L=3,3m</t>
  </si>
  <si>
    <t>ΕΠΕΚ ΥΠ ΣΩΛ ΚΑΤ ΝΕΑ ΣΩΛ ΜΕ ΕΠΑΥΞ ΕΩΣ 15Μ</t>
  </si>
  <si>
    <t>14006099</t>
  </si>
  <si>
    <t>ΔΑΚΤΥΛΙΟΣ ΣΙΔΗΡΟΣΩΛΗΝΑΣ D=3/4΄΄</t>
  </si>
  <si>
    <t>14006100</t>
  </si>
  <si>
    <t>Aerial flat drop cable 2 F/O</t>
  </si>
  <si>
    <t>1965.VII.</t>
  </si>
  <si>
    <t>ΕΠ ΤΟΠ 2 ΣΩΛ ΕΠΕΚΤ ΚΛ ΔΙΑΝ FTTH ΕΩΣ 30Μ</t>
  </si>
  <si>
    <t>14028679</t>
  </si>
  <si>
    <t>1965.III.</t>
  </si>
  <si>
    <t>AerialIn/OutFlatDropCable2FIBER G.657A1</t>
  </si>
  <si>
    <t>ΕΠΕΚ ΥΠ ΣΩΛ ΚΑΤ ΝΕΑ ΣΩΛ ΜΕ ΕΠΑΥΞ ΕΩΣ 30Μ</t>
  </si>
  <si>
    <t>14028353</t>
  </si>
  <si>
    <t>ΣΥΡΜΑ ΠΡΟΣΔΕΣΕΩΣ ΜΟΝ. PVC  D=1,1 mm</t>
  </si>
  <si>
    <t>1965.VIII.</t>
  </si>
  <si>
    <t>14006148</t>
  </si>
  <si>
    <t>ΕΠ ΤΟΠ 2 ΣΩΛ ΕΠΕΚΤ ΚΛ ΔΙΑΝ FTTH ΕΩΣ 60Μ</t>
  </si>
  <si>
    <t>ΣΤΕΦΑΝΗ ΣΤΥΛΟΥ ΑΝΑΡΤΗΣΗΣ ΑΥΤΟΣΤ ΚΑΛΩΔΙΩΝ</t>
  </si>
  <si>
    <t>1965.IV.</t>
  </si>
  <si>
    <t>ΕΠΕΚ ΥΠ ΣΩΛ ΚΑΤ ΝΕΑ ΣΩΛ ΜΕ ΕΠΑΥΞ ΕΩΣ 60Μ</t>
  </si>
  <si>
    <t>14006150</t>
  </si>
  <si>
    <t>ΘΗΛΕΙΑ ΣΤΥΛΟΥ ΑΝΟΙΧΤΗ ΜΕ ΚΟΧΛΙΑ</t>
  </si>
  <si>
    <t>14006141</t>
  </si>
  <si>
    <t>1970.i</t>
  </si>
  <si>
    <t>ΘΗΛΕΙΑ ΣΤΥΛΟΥ ΚΛΕΙΣΤΗ ΑΝΑΡΤΗΣΗΣ ΑΥΤΟΣΤΗΡ</t>
  </si>
  <si>
    <t>ΤΟΠΟΘ BEP ΜΕ ΚΑΤΑΣ ΥΠΟΔ ΟΔΕΥΣΗΣ ΚΟΙ &lt;10m</t>
  </si>
  <si>
    <t>14006142</t>
  </si>
  <si>
    <t>ΞΥΛΙΝΟΥ ΣΤΥΛΟΥ ΥΨΟΥΣ 7,00Μ</t>
  </si>
  <si>
    <t>1000.2.I.α.   Μ/Τ ΠΛ ΣΤ 8Χ30cm ΧΩΡΙΣ ΕΠΑΝ ή ΑΔΙΑΜ FTTH</t>
  </si>
  <si>
    <t>ΞΥΛΙΝΟΥ ΣΤΥΛΟΥ ΥΨΟΥΣ 8,00Μ</t>
  </si>
  <si>
    <t>HUA transparent optical cable SC/APC 10m</t>
  </si>
  <si>
    <t>HUA transparent optical cable SC/APC 20m</t>
  </si>
  <si>
    <t>1970.ii</t>
  </si>
  <si>
    <t>ΤΟΠΟΘ BEP ΜΕ ΚΑΤΑΣ ΥΠΟΔ ΟΔΕΥΣΗΣ ΚΟΙ &lt;25m</t>
  </si>
  <si>
    <t>HUA transparent optical cable SC/APC 30m</t>
  </si>
  <si>
    <t>HUA transparent optical cable SC/APC 40m</t>
  </si>
  <si>
    <t>1000.2.I.β.   Μ/Τ ΠΛ ΣΤ 8Χ45,10Χ45-50cm ΧΩΡ ΕΠΑΝ FTTH</t>
  </si>
  <si>
    <t>HUA OTO Fiber outlets SC/APC</t>
  </si>
  <si>
    <t>ΔΙΑΒΑΤΙΚΟ ΣΤΗΡΙΓΜΑ ΤΥΠΟΥ J HOOK</t>
  </si>
  <si>
    <t>TMX</t>
  </si>
  <si>
    <t>1970.iii</t>
  </si>
  <si>
    <t>ΟΡΓΑΝΩΤΗΡΑΣ ΔΙΑΧΕΙΡΙΣΗΣ ΠΕΡΙΣΣΕΙΑΣ ΚΑΛΩΔ</t>
  </si>
  <si>
    <t>ΤΟΠΟΘ BEP ΜΕ ΚΑΤΑΣ ΥΠΟΔ ΟΔΕΥΣΗΣ ΚΟΙ &lt;40m</t>
  </si>
  <si>
    <t>ΤΕΡΜΑΤ. ΣΤΗΡΓΜΑ ΣΦΗΝΑΣ καλωδίων 10-14mm</t>
  </si>
  <si>
    <t>1000.2.I.γ.   Μ/Τ ΠΛ ΣΤ 16Χ45-16Χ50cm ΧΩΡΙΣ ΕΠΑΝ FTTH</t>
  </si>
  <si>
    <t>Fibre optic cable 12F/O Aerial</t>
  </si>
  <si>
    <t>M</t>
  </si>
  <si>
    <t>1970.iv</t>
  </si>
  <si>
    <t>ΤΟΠΟΘ ΚΚΚ ΚΑΙ ΔΙΑΣΥΝΔΕΣΗ ΜΕ BEP ΣΕ ΜΙΚΡΑ ΚΤΗΡΙΑ</t>
  </si>
  <si>
    <t>1000.2.I.δ.   Μ/Τ ΠΛ ΣΤ 16Χ55-16Χ60cm ΧΩΡΙΣ ΕΠΑΝ FTTH</t>
  </si>
  <si>
    <t>1970.I.</t>
  </si>
  <si>
    <t>ΤΟΠ ΤΕΡΜ ΔΙΑΤ ΒΕΡ ΚΚΚ ΚΑΤ ΥΠ ΟΔ  ΕΩΣ 10Μ</t>
  </si>
  <si>
    <t>1970.v</t>
  </si>
  <si>
    <t>ΤΟΠΟΘ ΚΚΚ ΚΑΙ ΔΙΑΣΥΝΔΕΣΗ ΜΕ BEP ΣΕ ΜΕΣΑΙΑ ΚΑΙ ΜΕΓΑΛΑ ΚΤΗΡΙΑ ΚΤΗΡΙΑ</t>
  </si>
  <si>
    <t>1000.2.I.ε.   Μ/Τ ΧΩΡ ΠΛ ΣΤ 5Χ30-6Χ30cm ΧΩΡ ΕΠΑΝ FTTH</t>
  </si>
  <si>
    <t>1970.II.</t>
  </si>
  <si>
    <t>ΤΟΠ ΤΕΡΜ ΔΙΑΤ ΒΕΡ ΚΚΚ ΚΑΤ ΥΠ ΟΔ  ΕΩΣ 25Μ</t>
  </si>
  <si>
    <t>1971.I.</t>
  </si>
  <si>
    <t>ΑΝΤΚ/ΣΗ BEP ή FLOOR BOX FTTH &lt;12 ΥΦ ΣΥΝΔ</t>
  </si>
  <si>
    <t>EA</t>
  </si>
  <si>
    <t>1000.2.I.στ.   Μ/Τ ΧΩΡ ΠΛ ΣΤ 5Χ45-6Χ45cm ΧΩΡ ΕΠΑΝ FTTH</t>
  </si>
  <si>
    <t>1970.III.</t>
  </si>
  <si>
    <t>1971.II.</t>
  </si>
  <si>
    <t>ΤΟΠ ΤΕΡΜ ΔΙΑΤ ΒΕΡ ΚΚΚ ΚΑΤ ΥΠ ΟΔ ΕΩΣ 40Μ</t>
  </si>
  <si>
    <t>ΑΝΤΚ/ΣΗ BEP ή FLOOR BOX FTTH &lt;32 ΥΦ ΣΥΝΔ</t>
  </si>
  <si>
    <t>1000.3.I.α.   Μ/Τ ΠΛ ΣΤ 8Χ30cm ΕΠΑΝ ΛΟΙΠ ΔΙΑΜ ΠΕΡ FTTH</t>
  </si>
  <si>
    <t>1970.IV.</t>
  </si>
  <si>
    <t>ΤΟΠ ΚΕΝΤΡ ΚΑΤ ΔΙΑΣ ΒΕΡ ΜΙΚΡ ΚΤ 4ΔΙΕΠ 2ΕΠ</t>
  </si>
  <si>
    <t>1973.1</t>
  </si>
  <si>
    <t>ΕΡΓ ΥΨΟ ΕΝΑΕΡΙΤΗ ΚΑΤΑΚ,ΟΡΙΖ ΥΠ ΚΑΛ FTTH</t>
  </si>
  <si>
    <t>1000.3.I.β.   Μ/Τ ΠΛ ΣΤ 8Χ45,10Χ45-50cm ΕΠΑΝ ΛΟΙΠ FTTH</t>
  </si>
  <si>
    <t>1970.V.</t>
  </si>
  <si>
    <t>ΤΟΠ ΚΕΝΤΡ ΚΑΤ ΔΙΑΣ ΒΕΡ ΜΕΣ ΜΕΓ ΚΤΙΡ</t>
  </si>
  <si>
    <t>1973.2</t>
  </si>
  <si>
    <t>ΕΡΓ ΥΨΟ ΚΑΛΑΘΟΦΟΡ ΚΑΤΑΚ,ΟΡΙΖ ΥΠ ΚΑΛ FTTH</t>
  </si>
  <si>
    <t>1986.I.</t>
  </si>
  <si>
    <t>ΤΟΠ ΚΟΙ ΚΑΤ ΥΠ ΜΕ ΤΕΡΜ ΔΙΑΣ 3 ΠΡΩΤ ΟΡΟΦ</t>
  </si>
  <si>
    <t>1000.3.I.γ.   Μ/Τ ΠΛ ΣΤ 16Χ45-16Χ50cm ΕΠΑΝ ΛΟΙΠ FTTH</t>
  </si>
  <si>
    <t>1973.3</t>
  </si>
  <si>
    <t>1986.II.</t>
  </si>
  <si>
    <t>ΕΡΓ ΥΨΟ ΙΚΡΙΩΜΑΤΩ ΚΑΤΑΚ,ΟΡΙΖ ΥΠ ΚΑΛ FTTH</t>
  </si>
  <si>
    <t>ΤΟΠ ΚΟΙ ΚΑΤ ΥΠ ΜΕ ΤΕΡΜ ΔΙΑΣ ΜΕΤΑ 3 ΠΡ ΟΡ</t>
  </si>
  <si>
    <t>1000.3.I.δ.   Μ/Τ ΠΛ ΣΤ 16Χ55-16Χ60cm ΕΠΑΝ ΛΟΙΠ FTTH</t>
  </si>
  <si>
    <t>1986.III.</t>
  </si>
  <si>
    <t>ΤΟΠ ΚΟΙ ΚΑΛ ΑΝΑΓ ΚΥΑ ΕΥΘ ΠΡ 3 ΠΡΩΤ ΟΡΟΦ</t>
  </si>
  <si>
    <t>1977.I</t>
  </si>
  <si>
    <t>ΕΓΚ/ΣΗ SPLITTER ΟΠΤΙΚΟΥ ΣΗΜΑΤΟΣ FTTH</t>
  </si>
  <si>
    <t>1000.3.I.ε.   Μ/Τ ΧΩΡ ΠΛ ΣΤ 5Χ30-6Χ30cmΕΠΑΝ ΛΟΙΠ FTTH</t>
  </si>
  <si>
    <t>1986.IV.</t>
  </si>
  <si>
    <t>ΤΟΠ ΚΟΙ ΚΑΛ ΑΝΑΓ ΚΥΑ ΕΥΘ ΠΡ ΜΕΤΑ 3 ΠΡ ΟΡ</t>
  </si>
  <si>
    <t>1977.II</t>
  </si>
  <si>
    <t>ΤΡΟΠΟΠΟΙΗΣΗ ΔΙΑΣΥΝΔΕΣΕΩΝ</t>
  </si>
  <si>
    <t>1000.3.I.στ.   Μ/Τ ΧΩΡ ΠΛ ΣΤ 5Χ45-6Χ45cm ΕΠΑΝ ΛΟΙΠ FTTH</t>
  </si>
  <si>
    <t>1993.I.i.</t>
  </si>
  <si>
    <t>ΚΑΤ ΥΠ ΕΠ ΚΑΛ BCP-KOI ΜΕ ΕΓΚ ΚΟΙ ΕΩΣ 5Μ</t>
  </si>
  <si>
    <t>1977.IΙΙ</t>
  </si>
  <si>
    <t>ΕΓΚ/ΣΗ SPLITTER ΣΕ BEP/BCP ΜΕΤΑ ΤΗΝ ΟΛΟΚΛ ΤΗΣ ΑΡΧΙΚΗΣ</t>
  </si>
  <si>
    <t>1993.I.ii.</t>
  </si>
  <si>
    <t>ΚΑΤ ΥΠ ΕΠ ΚΑΛ BCP-KOI ΜΕ ΕΓΚ ΚΟΙ ΕΩΣ 15Μ</t>
  </si>
  <si>
    <t>1977.IV</t>
  </si>
  <si>
    <t>ΟΜΑΔΟΠΟΙΗΜ ΕΓΚ/ΣΗ SPLITTER  ΣΕ BEP/BCP ΜΕΤΑ ΤΗΝ ΟΛΟΚΛ ΤΗΣ ΑΡΧΙΚΗΣ</t>
  </si>
  <si>
    <t>1993.I.iii.</t>
  </si>
  <si>
    <t>ΚΑΤ ΥΠ ΕΠ ΚΑΛ BCP-KOI ΜΕ ΕΓΚ ΚΟΙ ΕΩΣ 30Μ</t>
  </si>
  <si>
    <t>1993.I.iv.</t>
  </si>
  <si>
    <t>ΚΑΤ ΥΠ ΕΠ ΚΑΛ BCP-KOI ΜΕ ΕΓΚ ΚΟΙ ΕΩΣ 60Μ</t>
  </si>
  <si>
    <t>1980.I.</t>
  </si>
  <si>
    <t>ΤΟΠ ΚΟΙ FTTH ΚΑΜΠ-ΤΕΡΜ ΔΙΑΤΑΞ ΕΛΕΥΘ ΥΠΟΔ</t>
  </si>
  <si>
    <t>1993.I.v.</t>
  </si>
  <si>
    <t>ΤΟΠ 2 ΣΩΛ ΕΠΕΚΤ ΚΛ ΔΙΑΝ FTTH ΕΩΣ 5Μ</t>
  </si>
  <si>
    <t>1001   ΕΚΣΚΑΦΗ ΣΚΑΜΜΑΤΩΝ</t>
  </si>
  <si>
    <t>1993.I.vi.</t>
  </si>
  <si>
    <t>1980.II.</t>
  </si>
  <si>
    <t>ΤΟΠ 2 ΣΩΛ ΕΠΕΚΤ ΚΛ ΔΙΑΝ FTTH ΕΩΣ 15Μ</t>
  </si>
  <si>
    <t>ΤΟΠ ΚΟΙ FTTH ΚΑΜΠ-ΤΕΡΜ ΔΙΑΤΑΞ ΒΛΑΒΗ ΚΟΙ</t>
  </si>
  <si>
    <t>1011   ΑΠΟΞΗΛΩΣΗ ΔΙΑΜΟΡΦΩΜΕΝΗΣ ΕΠΙΦΑΝΕΙΑΣ Μ/Τ</t>
  </si>
  <si>
    <t>1993.I.vii.</t>
  </si>
  <si>
    <t>ΤΟΠ 2 ΣΩΛ ΕΠΕΚΤ ΚΛ ΔΙΑΝ FTTH ΕΩΣ 30Μ</t>
  </si>
  <si>
    <t>1985.1</t>
  </si>
  <si>
    <t>ΚΑΤ ΚΑΤΑΚΟΡ ΚΟΙ ΑΝΑ ΟΡΟΦ ΜΙΚΡΟΥΛ ΕΡΓΟΛ</t>
  </si>
  <si>
    <t>1015   ΑΠΟΚΑΛΥΨΗ ΚΑΠΑΚΙΟΥ ΦΡΕΑΤΙΟΥ</t>
  </si>
  <si>
    <t>1993.I.viii.</t>
  </si>
  <si>
    <t>ΤΟΠ 2 ΣΩΛ ΕΠΕΚΤ ΚΛ ΔΙΑΝ FTTH ΕΩΣ 60Μ</t>
  </si>
  <si>
    <t>1985.2</t>
  </si>
  <si>
    <t>ΚΑΤ ΚΑΤΑΚΟΡ ΚΟΙ ΑΝΑ ΟΡΟΦ ΜΙΚΡΟ&amp;ΥΛΙ ΕΡΓΟΛ</t>
  </si>
  <si>
    <t>1993.II.</t>
  </si>
  <si>
    <t>ΣΥΝ ΜΗΚΟΣ ΕΝ ΚΑΛΩΔ 16-50Μ</t>
  </si>
  <si>
    <t>1020   ΕΚΣΚ ΛΑΚΚΟΥ ΓΙΑ ΕΝΤΟΠΙΣΜΟ ΚΑΛΩΔΙΑΚ ΒΛΑΒΗ</t>
  </si>
  <si>
    <t>1993.III.</t>
  </si>
  <si>
    <t>1985.3</t>
  </si>
  <si>
    <t>ΣΥΝ ΜΗΚΟΣ ΕΝ ΚΑΛΩΔ ΕΩΣ 16Μ</t>
  </si>
  <si>
    <t>ΚΑΤ ΚΑΤΑΚΟΡ ΦΡ ΑΝΕΛΚ ΥΛΙΚ ΟΤΕ &lt;5ΟΡΟΦ</t>
  </si>
  <si>
    <t>1021   ΕΚΣΚ ΛΑΚΚΟΥ ΜΟΥΦΑΣ ΣΥΜΜΕΤΡΙΚΩΝ ΚΑΛΩΔΙΩΝ</t>
  </si>
  <si>
    <t>1.1002.1</t>
  </si>
  <si>
    <t>ΕΚΣ ΤΑΦΡΟΥ 40 Χ 50 ΕΚ ΓΙΑ ΤΟΠΟΘ.ΚΑΛΩΔΙΩΝ</t>
  </si>
  <si>
    <t>1985.4</t>
  </si>
  <si>
    <t>ΚΑΤ ΚΑΤΑΚΟΡ ΦΡ ΑΝΕΛΚ &gt;5ΟΡΟΦ ΑΝΑ ΟΡΟΦ</t>
  </si>
  <si>
    <t>1024   ΕΚΣΚ ΛΑΚΚΟΥ ΜΟΥΦΑΣ ΚΑΛΩΔΙΩΝ ΟΠΤΙΚΩΝ ΙΝΩΝ</t>
  </si>
  <si>
    <t>1.1002.2</t>
  </si>
  <si>
    <t>ΕΚΣ ΤΑΦΡΟΥ 40 Χ 70 ΕΚ ΓΙΑ ΤΟΠΟΘ.ΚΑΛΩΔΙΩΝ</t>
  </si>
  <si>
    <t>1986.Ι</t>
  </si>
  <si>
    <t>ΤΟΠ ΚΟΙ FTTH ΚΑΤΑΚΟΡΥΦΗ ΥΠ,ΤΕΡΜΑΤ &amp; ΔΙΑΣ ΕΩΣ 3 ΟΡ</t>
  </si>
  <si>
    <t>1.1002.3</t>
  </si>
  <si>
    <t>ΕΚΣ ΤΑΦΡΟΥ 40 Χ 80 ΕΚ ΓΙΑ ΤΟΠΟΘ.ΚΑΛΩΔΙΩΝ</t>
  </si>
  <si>
    <t>1025   ΕΚΣΚ ΛΑΚΚΟΥ ΓΙΑ ΑΡΣΗ ΚΑΛΩΔΙΑΚΗΣ ΒΛΑΒΗΣ</t>
  </si>
  <si>
    <t>1.1002.4</t>
  </si>
  <si>
    <t>ΕΚΣ ΤΑΦΡΟΥ 50 Χ100 ΕΚ ΓΙΑ ΤΟΠΟΘ.ΚΑΛΩΔΙΩΝ</t>
  </si>
  <si>
    <t>1986.ΙΙ</t>
  </si>
  <si>
    <t>ΤΟΠ ΚΟΙ FTTH ΚΑΤΑΚΟΡΥΦΗ ΥΠ,ΤΕΡΜΑΤ &amp; ΔΙΑΣ ΕΠΙΠΛΕΟΝ ΤΩΝ 3 ΟΡ</t>
  </si>
  <si>
    <t>1.1031</t>
  </si>
  <si>
    <t>ΕΚΣΚ ΔΑΝΕΙΟΘΑΛΑΜΩΝ &amp; ΜΕΤΑΦΟΡΑ ΠΡΟΙΟΝΤΩΝ</t>
  </si>
  <si>
    <t>M3</t>
  </si>
  <si>
    <t>1.1106.1</t>
  </si>
  <si>
    <t>ΚΑΤ ΔΙΑΤΡΗΣΗ ΚΑΤΩ ΑΠΟ ΚΟΙΤΗ ΧΑΛΑΡΑ ΕΔΑΦΗ</t>
  </si>
  <si>
    <t>1.1106.2</t>
  </si>
  <si>
    <t>ΚΑΤ ΔΙΑΤΡΗΣΗ ΚΑΤΩ ΑΠΟ ΚΟΙΤΗ ΒΡΑΧΏΔΗ ΕΔΑΦ</t>
  </si>
  <si>
    <t>1.1522</t>
  </si>
  <si>
    <t>1955.i</t>
  </si>
  <si>
    <t>ΕΠΙΧΩΣΗ ΜΕ ΘΡΑΥΣΤΟ ΥΛ ΠΤΠΟ-155&amp; ΣΥΜΠ 95%</t>
  </si>
  <si>
    <t>ΣΥΝΔ ΠΕΛΑΤΗ, ΟΡΙΖ ΚΑΤΑΣΚ ΣΕ Β ΦΑΣΗ</t>
  </si>
  <si>
    <t>1101   ΚΟΠΗ ΔΙΑΜΟΡΦ ΠΕΖΟΔΡΟΜΙΟΥ/ΟΔΟΣΤΡΩΜΑΤΟΣ</t>
  </si>
  <si>
    <t>1.1531</t>
  </si>
  <si>
    <t>ΚΑΤΑΣ ΣΤΡ ΥΛ ΠΤΠ Ο155 ΣΤΑΘΕΡ ΜΕ ΤΣΙΜΕΝΤΟ</t>
  </si>
  <si>
    <t>1955.ii</t>
  </si>
  <si>
    <t>ΣΥΝΔ ΠΕΛΑΤΗ &amp; ΕΝΕΡΓΟΠΟΙΗΣΗ, ΟΡΙΖ ΚΑΤΑΣΚ ΣΕ Β ΦΑΣΗ</t>
  </si>
  <si>
    <t>1.1532</t>
  </si>
  <si>
    <t>ΛΙΘΟΠΛΗΡΩΣΗ ΤΑΦΡΟΥ ΚΑΛΩΔΙΩΝ</t>
  </si>
  <si>
    <t>1102   ΔΙΑΤΡΗΣΗ ΟΔΟΣΤΡΩΜΑΤΟΣ ΜΕ ΔΙΑΤΡ ΜΗΧΑΝΗΜΑ</t>
  </si>
  <si>
    <t>1.1601</t>
  </si>
  <si>
    <t>ΦΟΡΤΟΕΚΦ &amp; ΜΕΤΑΦ ΠΡ ΚΑΤΑΠΤ ΑΝΩΘΕΝ ΤΑΦΡ</t>
  </si>
  <si>
    <t>1955.iii</t>
  </si>
  <si>
    <t>ΣΥΝΔ ΠΕΛΑΤΗ, ΟΡΙΖ ΚΑΤΑΣΚ ΣΕ Γ ΦΑΣΗ</t>
  </si>
  <si>
    <t>1111   ΕΙΣΑΓΩΓΗ ΚΑΛΩΔΙΟΥ ΣΕ ΠΟΛΥΚΑΤΟΙΚΙΑ</t>
  </si>
  <si>
    <t>1.1701</t>
  </si>
  <si>
    <t>ΚΑΤΑΣΚΕΥΗ ΑΝΤΙΣΤΗΡΙΞΕΩΝ</t>
  </si>
  <si>
    <t>M2</t>
  </si>
  <si>
    <t>1955.iv</t>
  </si>
  <si>
    <t>ΣΥΝΔ ΠΕΛΑΤΗ &amp; ΕΝΕΡΓΟΠΟΙΗΣΗ, ΟΡΙΖ ΚΑΤΑΣΚ ΣΕ Γ ΦΑΣΗ</t>
  </si>
  <si>
    <t>1.1821.1</t>
  </si>
  <si>
    <t>ΚΑΤ ΤΦ 40Χ70 Δ ΕΠ ΕΠΧ Θ Υ80%-ΤΟΥΒ&amp;ΠΛ ΣΗΜ</t>
  </si>
  <si>
    <t>1501   ΕΠΙΧ ΜΕ ΑΠΛΗ ΣΥΜΠΥΚΝ ΠΡΟΙΟΝΤΩΝ ΕΚΣΚΑΦΗΣ</t>
  </si>
  <si>
    <t>1955.v</t>
  </si>
  <si>
    <t>1.1822.1</t>
  </si>
  <si>
    <t>ΑΠΟΚ ΣΥΝΔ ΠΕΛΑΤΗ, ΤΟΠΟΘ Κ ΤΕΡΜ ΟΡΙΖ ΚΑΛ ΣΕ ΥΦΙΣ ΥΠΟΔ ΑΠΌ ΒΛΑΒΗ</t>
  </si>
  <si>
    <t>ΚΑΤ ΤΦ40Χ70 ΑΔ ΕΠ ΕΠΧ ΘΥ80%-ΤΟΥΒ&amp;ήΠΛ ΣΗΜ</t>
  </si>
  <si>
    <t>1502   ΕΠΙΧ ΜΕ ΕΠΙΜ ΣΥΜΠ ΤΩΝ ΠΡΟΙΟΝΤΩΝ ΕΚΣΚΑΦΗΣ</t>
  </si>
  <si>
    <t>1.2125</t>
  </si>
  <si>
    <t>ΕΠΑΝ ΠΕΖΟΔΡΟΜ ΛΕΥΚΑ ΚΟΧΛΑΚΙΑ ΤΥΠΟΥ ΡΟΔΟΥ</t>
  </si>
  <si>
    <t>1955.vi</t>
  </si>
  <si>
    <t>1.2151</t>
  </si>
  <si>
    <t>ΕΠΙΠΡΟΣΘΕΤΗ ΑΠΟΖΗΜΙΩΣΗ ΟΡ ΚΑΤΑΣΚ&gt;40m η' ΚΑΤΑΣΚ ΜΕ &gt;10m ΠΛΑΣΤ ΣΩΛ</t>
  </si>
  <si>
    <t>ΕΠΑΝΑΦ ΠΕΖΟΔ ΑΠΟ ΤΕΧΝΗΤΕΣ ΠΛΑΚ/ΠΛΑΚΙΔΙΑ</t>
  </si>
  <si>
    <t>1520   ΕΠΙΧΩΣΗ ΜΕ ΘΡΑΥΣΤΟ ΥΛ ΠΤΠΟ-155&amp;ΕΠΙΜ ΣΥΜΠ</t>
  </si>
  <si>
    <t>1.2232</t>
  </si>
  <si>
    <t>ΕΠΑΝ ΠΕΖΟΔΡ ΜΕ ΛΙΘΟΥΣ ΕΜΠΗΓΜ ΣΕ ΥΠ ΣΚΥΡ</t>
  </si>
  <si>
    <t>1988.i.</t>
  </si>
  <si>
    <t>ΣΥΝΔ ΝΕΟ ΠΕΛΑΤΗ ΣΕ BEP, ΣΕ ΟΡΟ ΝΕΑ ΚΑΤΑΚ</t>
  </si>
  <si>
    <t>1.2241</t>
  </si>
  <si>
    <t>ΕΠΑΝΑΦΟΡΑ ΠΕΖΟΔΡΟΜΙΟΥΑΠΟ ΧΛΟΟΤΑΠΗΤΑ</t>
  </si>
  <si>
    <t>1.2313</t>
  </si>
  <si>
    <t>1988.ii.</t>
  </si>
  <si>
    <t>ΕΠΑΝΑΦ ΚΑΤΑΣΤΡΩΜΑΤΟΣ ΟΔΟΥ ΜΕ C16/20 20cm</t>
  </si>
  <si>
    <t>ΣΥΝΔ ΝΕΟ ΠΕΛΑΤΗ BEP,ΣΕ ΟΡΟ ΜΕ ΥΦ ΚΑΤΑΚΟΡ</t>
  </si>
  <si>
    <t>1.2323</t>
  </si>
  <si>
    <t>ΕΠΑΝΑΦ ΚΑΤΑΣΤΡΩΜΑΤΟΣ ΟΔΟΥ ΜΕ C16/20 15cm</t>
  </si>
  <si>
    <t>ΣΥΝΔ ΕΝΕΡΓ ΕΞΟΠ &amp; ΕΝΕΡΓ ΥΠΗΡΕΣΙΑΣ</t>
  </si>
  <si>
    <t>1.2327</t>
  </si>
  <si>
    <t>ΕΠΑΝΑΦ ΚΑΤΑΣΤΡΩΜΑΤΟΣ ΟΔΟΥ ΜΕ C16/20 5cm</t>
  </si>
  <si>
    <t>1952A.I</t>
  </si>
  <si>
    <t>Β'ΦΑΣΗ WHOLESALE 10HM (Β-Α)</t>
  </si>
  <si>
    <t>1.2341</t>
  </si>
  <si>
    <t>ΕΠΑΝ ΚΑΤΑΣΤ ΟΔ ΜΕ ΛΙΘΟΥΣ ΕΜΠ ΣΕ ΥΠ ΣΚΥΡ</t>
  </si>
  <si>
    <t>1521   ΕΠΙΧ ΜΕ ΘΡΑΥΣΤΟ ΥΛΙΚΟ ΠΤΠΟ-155 &amp; ΣΥΜΠ80%</t>
  </si>
  <si>
    <t>1.2511</t>
  </si>
  <si>
    <t>1952A.II</t>
  </si>
  <si>
    <t>ΚΑΤΑΣΚ ΦΡΕΑΤ ΠΡΟΣΑΙΓΙΑΛΩΣΗΣ ΟΠΛ ΣΚΥΡΟΔ</t>
  </si>
  <si>
    <t>Β'ΦΑΣΗ RETAIL ΜΕ ΠΑΡ&amp;ΕΝ.ΥΠ 14HM (Γ-Α)</t>
  </si>
  <si>
    <t>1801.1   ΚΑΤ ΤΑΦΡΟΥ 40Χ50 ΑΔΙΑΜ ΕΠΙΦ ή ΧΩΡΙΣ ΑΠΟΚ</t>
  </si>
  <si>
    <t>1.2512</t>
  </si>
  <si>
    <t>ΕΠΙ ΠΛΕΟΝ ΔΑΠΑΝΗ ΓΙΑ ΠΡΟΚΑΤ ΦΡ ΠΡΟΣΑΙΓ</t>
  </si>
  <si>
    <t>1952A.III</t>
  </si>
  <si>
    <t>Γ'ΦΑΣΗ RETAIL ΜΕ ΠΑΡ&amp;ΕΝ.ΥΠ 7HM (Γ-Α)</t>
  </si>
  <si>
    <t>1801.2   ΚΑΤ ΤΑΦΡΟΥ 40x50 ΣΕ ΔΙΑΜΟΡΦ ΕΠΙΦΑΝΙΑ</t>
  </si>
  <si>
    <t>1.2520.1</t>
  </si>
  <si>
    <t>ΚΑΤ ΦΡΕ ΦΙΙΙ,ΣΤΕΓΑΝ,SDSLAM,PILL,ΗΛΕΚΤΡΟΔ</t>
  </si>
  <si>
    <t>1991.i.1</t>
  </si>
  <si>
    <t>ΣΥΝΟΛ ΜΗΚΟΣ ΤΑΦΡΟΥ &lt; 3Μ</t>
  </si>
  <si>
    <t>1.2520.2</t>
  </si>
  <si>
    <t>ΚΑΤ ΦΡΕ ΦΙΙΙ,ΣΤΕΓΑΝ,SDSLAM,PILL,ΧΩΡ ΗΛΕΚ</t>
  </si>
  <si>
    <t>1802.1   ΚΑΤ ΤΑΦΡΟΥ 40Χ70 ΑΔΙΑΜ ΕΠΙΦ ή ΧΩΡΙΣ ΑΠΟΚ</t>
  </si>
  <si>
    <t>1991.i.2</t>
  </si>
  <si>
    <t>ΣΥΝΟΛ ΜΗΚΟΣ ΤΑΦΡΟΥ 3 ΜΕ 10 Μ</t>
  </si>
  <si>
    <t>1.2525.1</t>
  </si>
  <si>
    <t>ΚΑΤ ΦΡΕ ΦΙΙΙ,ΣΤ,SDSLAM,mKV,PILL,ΗΛΕΚΤΡΟΔ</t>
  </si>
  <si>
    <t>1802.2   ΚΑΤ ΤΑΦΡΟΥ 40x70 ΣΕ ΔΙΑΜΟΡΦ ΕΠΙΦΑΝΙΑ</t>
  </si>
  <si>
    <t>1.2525.2</t>
  </si>
  <si>
    <t>ΚΑΤ ΦΡΕ ΦΙΙΙ,ΣΤ,SDSLAM,mKV,PILL,ΧΩΡ ΗΛΕΚ</t>
  </si>
  <si>
    <t>1991.i.3</t>
  </si>
  <si>
    <t>ΣΥΝΟΛ ΜΗΚΟΣ ΤΑΦΡΟΥ 10 ΜΕ 15 Μ</t>
  </si>
  <si>
    <t>1830   ΚΑΤΑΣΚΕΥΗ ΔΙΑΒΑΣΗΣ ΟΔΟΥ 2Ω ΕΩΣ 4Ω</t>
  </si>
  <si>
    <t>1.2562.1</t>
  </si>
  <si>
    <t>ΠΡΟΕΡΓ ΣΤΕΓΑΝΟΠΟΙΗΣΕΩΣ ΥΦΙΣΤ ΦΡΕΑΤΙΟΥ ΣΣ</t>
  </si>
  <si>
    <t>1991.ii.1</t>
  </si>
  <si>
    <t>1.2562.2</t>
  </si>
  <si>
    <t>ΣΥΝΟΛ ΜΗΚΟΣ ΕΠΕΚΤ ΚΛΑΔ ΔΙΑΝ &lt;5Μ</t>
  </si>
  <si>
    <t>ΠΡΟΕΡΓ ΣΤΕΓΑΝΟΠΟΙΗΣΕΩΣ ΥΦΙΣΤ ΦΡΕΑΤΙΟΥ ΦΙ</t>
  </si>
  <si>
    <t>1905.I.i.   Μ/Τ 2X30cm ΜΕ ΕΠΑΝΑΦ ΣΚΥΡΟΔΕΜΑ</t>
  </si>
  <si>
    <t>1.2562.3</t>
  </si>
  <si>
    <t>ΠΡΟΕΡΓ ΣΤΕΓΑΝ ΥΦΙΣΤ ΦΡΕΑΤΙΟΥ ΦΙΙ ή ΦΙΙΑ</t>
  </si>
  <si>
    <t>1991.ii.2</t>
  </si>
  <si>
    <t>ΣΥΝΟΛ ΜΗΚΟΣ ΕΠΕΚΤ ΚΛΑΔ ΔΙΑΝ &lt;15Μ</t>
  </si>
  <si>
    <t>1905.I.ii.   Μ/Τ 2X30cm ΜΕ ΕΠΑΝΑΦ ΑΣΦΑΛΤΟΣΚΥΡΟΔΕΜΑ</t>
  </si>
  <si>
    <t>1.2562.4</t>
  </si>
  <si>
    <t>ΠΡΟΕΡΓ ΣΤΕΓΑΝ ΥΦΙΣΤ ΦΡΕΑΤ ΦΙΙΙ, ΦIV ή ΦV</t>
  </si>
  <si>
    <t>1991.ii.3</t>
  </si>
  <si>
    <t>ΣΥΝΟΛ ΜΗΚΟΣ ΕΠΕΚΤ ΚΛΑΔ ΔΙΑΝ &lt;30Μ</t>
  </si>
  <si>
    <t>1.2562.5</t>
  </si>
  <si>
    <t>1905.I.iii.   Μ/Τ 2X30cm ΑΔΙΑΜΟΡΦΩΤ ή ΧΩΡΙΣ ΕΠΑΝΑΦΟΡΑ</t>
  </si>
  <si>
    <t>ΠΡΟΕΡΓ ΣΤΕΓΑΝΟΠΟΙΗΣΕΩΣ ΝΕΟΥ ΦΡΕΑΤΙΟΥ ΣΣ</t>
  </si>
  <si>
    <t>1993.i.1</t>
  </si>
  <si>
    <t>ΚΑΤΑΣΚ ΝΕΑ ΥΠΟΓ ΕΠΕΙΓ ΕΝΑΕΡ ΚΑΛ ΑΠΌ ΔΙΑΚ</t>
  </si>
  <si>
    <t>1.2562.6</t>
  </si>
  <si>
    <t>ΠΡΟΕΡΓ ΣΤΕΓΑΝΟΠ ΝΕΟΥ ΦΡΕΑΤΙΟΥ ΦΙ ή ΦΙΑ</t>
  </si>
  <si>
    <t>1905.II.i.   Μ/Τ 3X30cm ΕΠΑΝΑΦ ΑΣΦΑΛΤΟΣΚΥΡ ήΣΚΥΡΟΔΕΜΑ</t>
  </si>
  <si>
    <t>1993.i.2</t>
  </si>
  <si>
    <t>1.2562.7</t>
  </si>
  <si>
    <t>ΠΡΟΕΡΓ ΣΤΕΓΑΝΟΠ ΝΕΟΥ ΦΡΕΑΤΙΟΥ ΦΙΙ ή ΦΙΙΑ</t>
  </si>
  <si>
    <t>1905.II.ii.   Μ/Τ 3X30cm ΜΕ ΕΠΑΝΑΦ ΛΟΙΠ ΠΕΡΙΠ ΔΙΑΜΟΡΦ</t>
  </si>
  <si>
    <t>1993.i.3</t>
  </si>
  <si>
    <t>1.2562.8</t>
  </si>
  <si>
    <t>ΠΡΟΕΡΓ ΣΤΕΓΑΝ ΝΕΟΥ ΦΡΕΑΤ  ΦΙΙΙ, ΦIV ή ΦV</t>
  </si>
  <si>
    <t>1905.II.iii.   Μ/Τ 3X30cm ΑΔΙΑΜΟΡΦΩΤ ή ΧΩΡΙΣ ΕΠΑΝΑΦΟΡΑ</t>
  </si>
  <si>
    <t>1993.i.4</t>
  </si>
  <si>
    <t>1.2566.1</t>
  </si>
  <si>
    <t>ΣΦΡ ΔΙΑΤΟΜΗΣ Μ/Σ ΧΩΡ ΠΛ ΜΕ ΜΕΧΡΙ 4 Φ100</t>
  </si>
  <si>
    <t>1905.III.i.   Μ/Τ 2X40cm ΜΕ ΕΠΑΝΑΦ ΣΚΥΡΟΔΕΜΑ</t>
  </si>
  <si>
    <t>1.2566.2</t>
  </si>
  <si>
    <t>ΣΦΡ ΔΙΑΤΟΜΗΣ Μ/Σ ΧΩΡ ΠΛ ΑΝΩ ΤΩΝ 4 Φ100</t>
  </si>
  <si>
    <t>1.2566.3</t>
  </si>
  <si>
    <t>ΣΦΡΑΓΙΣΗ ΔΙΑΤ Μ/Σ ΚΑΤ Ι (Μ/Σ 3+2,0+4ΚΛΠ)</t>
  </si>
  <si>
    <t>1.2566.4</t>
  </si>
  <si>
    <t>ΣΦΡΑΓ ΔΙΑΤ Μ/Σ ΚΑΤ ΙΙ (Μ/Σ 3+4, 0+6 ΚΛΠ)</t>
  </si>
  <si>
    <t>1.2566.5</t>
  </si>
  <si>
    <t>ΣΦΡΑΓ ΔΙΑΤ Μ/Σ ΚΑΤ ΙΙΙ (Μ/Σ 3+6, 0+8ΚΛΠ)</t>
  </si>
  <si>
    <t>1.2566.6</t>
  </si>
  <si>
    <t>ΣΦΡΑΓ ΔΙΑΤ Μ/Σ ΚΑΤ ΙV (Μ/Σ 3+8 ΚΛΠ)</t>
  </si>
  <si>
    <t>1.2567.1</t>
  </si>
  <si>
    <t>ΣΦΡΑΓΙΣΗ ΔΙΑΤΟΜΗΣ Μ/Τ ΔΙΑΤΟΜΗ Α , Α1, Α2</t>
  </si>
  <si>
    <t>1993.ii</t>
  </si>
  <si>
    <t>ΚΑΤΑΣΚ ΝΕΑΣ ΕΝΑΕΡ ΚΑΛ ΑΠΌ 16-50 Μ</t>
  </si>
  <si>
    <t>1.2567.2</t>
  </si>
  <si>
    <t>ΣΦΡΑΓΙΣΗ ΔΙΑΤΟΜΗΣ Μ/Τ ΔΙΑΤΟΜΗ Β , Β1</t>
  </si>
  <si>
    <t>1905.III.ii.   Μ/Τ 2X40cm ΜΕ ΕΠΑΝΑΦ ΑΣΦΑΛΤΟΣΚΥΡΟΔΕΜΑ</t>
  </si>
  <si>
    <t>1.2567.3</t>
  </si>
  <si>
    <t>ΣΦΡΑΓΙΣΗ ΔΙΑΤΟΜΗΣ Μ/Τ ΔΙΑΤΟΜΗ Γ , Γ1</t>
  </si>
  <si>
    <t>1993.iii</t>
  </si>
  <si>
    <t>ΚΑΤΑΣΚ ΝΕΑΣ ΕΝΑΕΡ ΚΑΛ ΑΠΌ 0-16 Μ</t>
  </si>
  <si>
    <t>1905.III.iii.   Μ/Τ 2X40cm ΑΔΙΑΜΟΡΦΩΤ ή ΧΩΡΙΣ ΕΠΑΝΑΦΟΡΑ</t>
  </si>
  <si>
    <t>1.2567.4</t>
  </si>
  <si>
    <t>ΣΦΡΑΓΙΣΗ ΔΙΑΤΟΜΗΣ Μ/Τ ΔΙΑΤΟΜΗ Δ , Δ1</t>
  </si>
  <si>
    <t>1.2567.5</t>
  </si>
  <si>
    <t>ΣΦΡΑΓΙΣΗ ΔΙΑΤΙΑΤΟΜΗΣ Μ/Τ ΔΙΑΤΟΜΗ Ε</t>
  </si>
  <si>
    <t>1995.I.</t>
  </si>
  <si>
    <t>ΆΡΣΗ ΒΛΑΒΗΣ ΠΟΛΥΣΩΛΗΝ &lt;4 ΣΩΛ ΕΔΑΦΟΣ FTTH</t>
  </si>
  <si>
    <t>1905.IV.i.   Μ/Τ 3X40cm ΕΠΑΝΑΦ ΑΣΦΑΛΤΟΣΚΥΡ ήΣΚΥΡΟΔΕΜΑ</t>
  </si>
  <si>
    <t>1.2567.6</t>
  </si>
  <si>
    <t>ΣΦΡΑΓΙΣΗ ΔΙΑΤΟΜΗΣ Μ/Τ ΔΙΑΤΟΜΗ ΣΤ</t>
  </si>
  <si>
    <t>1995.II.</t>
  </si>
  <si>
    <t>ΆΡΣΗ ΒΛΑΒΗΣ ΠΟΛΥΣΩΛΗΝ &gt;4 ΣΩΛ ΕΔΑΦΟΣ FTTH</t>
  </si>
  <si>
    <t>1.2582</t>
  </si>
  <si>
    <t>ΔΙΑΝΟΙΞΗ ΟΠΗΣ&amp;ΔΙΑΜΟΡΦ ΣΤΟΜΙΟΥ ΣΕ ΦΡΕΑΤΙΟ</t>
  </si>
  <si>
    <t>1905.IV.ii.   Μ/Τ 3X40cm ΜΕ ΕΠΑΝΑΦ ΛΟΙΠ ΠΕΡΙΠ ΔΙΑΜΟΡΦ</t>
  </si>
  <si>
    <t>ΤΟΠ/ΣΗ ΑΥΤΟΣΤ ΕΝΑΡ ΟΠΤ ΚΑΛ ΚΆΘΕ ΧΩΡΗΤΙΚ</t>
  </si>
  <si>
    <t>1.2586</t>
  </si>
  <si>
    <t>ΑΠΟΣΥΝΘΕΣΗ ΥΠΑΡΧΟΥΣΑΣ ΤΣΙΜΕΝΤΟΣΩΛΗΝΩΣΕΩΣ</t>
  </si>
  <si>
    <t>1.2591</t>
  </si>
  <si>
    <t>ΚΑΤΑΣΚΕΥΗ ΣΤΟΑΣ (ΜΠΟΥΚΑΣ)</t>
  </si>
  <si>
    <t>ΤΟΠ/ΣΗ ΟΠΤ ΔΙΑΤ ΔΙΑΣ ΕΠΙ ΣΤΥΛΟΥ</t>
  </si>
  <si>
    <t>1905.IV.iii.   Μ/Τ 3X40cm ΑΔΙΑΜΟΡΦΩΤ ή ΧΩΡΙΣ ΕΠΑΝΑΦΟΡΑ</t>
  </si>
  <si>
    <t>1.2592</t>
  </si>
  <si>
    <t>ΚΑΤΑΣΚΕΥΗ  ΘΟΛΟΤΥΠΩΝ ΦΡΕΑΤΙΩΝ</t>
  </si>
  <si>
    <t>1998.1</t>
  </si>
  <si>
    <t>ΕΓΑΣ ΣΥΓΚΟΛ &amp; ΤΕΡΜΑΤ ΣΕ ΟΠΤ ΔΙΑΤ ΔΙΑΣ</t>
  </si>
  <si>
    <t>1910.I.i.   ΚΑΤ ΔΙΑΝΟΜΗ FTTH -2m ΕΠΑΝ ΔΙΑΜ ΝΕΑ ΥΠΟΔ</t>
  </si>
  <si>
    <t>1.2594</t>
  </si>
  <si>
    <t>ΑΠΟΤΟΠ-ΕΠΑΝΑΤ ΚΑΠΑΚΙ ΦΡΕΑΤ ΜΕ ΑΝΥΨ ΜΗΧΑΝ</t>
  </si>
  <si>
    <t>1998.2</t>
  </si>
  <si>
    <t>1.2596</t>
  </si>
  <si>
    <t>ΑΝΤΙΚ ΚΑΤΑΝ ΜΕ ΜΕΡΙΚΗ ΑΝΑΚΑΤ ΤΗΣ ΒΑΣΗΣ</t>
  </si>
  <si>
    <t>1910.I.ii.   ΚΑΤ ΔΙΑΝΟΜΗ FTTH-2m ΕΠΑΝ ΑΔΙΑήΧΩΡ ΝΕΑ ΥΠ</t>
  </si>
  <si>
    <t>1998.3</t>
  </si>
  <si>
    <t>1.2642</t>
  </si>
  <si>
    <t>ΚΑΘΑΙΡΕΣΗ &amp; ΑΝΑΚΑΤΑΣΚΕΥΗ ΞΗΡΟΛΙΘΟΔΟΜΗΣ</t>
  </si>
  <si>
    <t>1910.II.i.   ΚΑΤ ΔΙΑΝΟΜΗ FTTH 2-15m ΕΠ ΔΙΑΜ ΝΕΑ ΥΠΟΔ</t>
  </si>
  <si>
    <t>1.2643</t>
  </si>
  <si>
    <t>1998.4</t>
  </si>
  <si>
    <t>ΑΡΣΗ&amp;ΕΠΑΝΑΤ ΠΕΡΙΦΡΑΞΗΣ ΜΕ ΣΥΡΜΑΤΟΠΛΕΓΜΑ</t>
  </si>
  <si>
    <t>1910.II.ii.   ΚΑΤ ΔΙΑΝΟΜΗ FTTH 2-15mΕΠ ΑΔΙΑήΧΩΡ ΝΕΑ ΥΠ</t>
  </si>
  <si>
    <t>1.2645</t>
  </si>
  <si>
    <t>ΔΙΑΓΡΑΜΜΙΣΗ  ΟΔΟΣΤΡΩΜΑΤΟΣ</t>
  </si>
  <si>
    <t>1998.5</t>
  </si>
  <si>
    <t>1.2691</t>
  </si>
  <si>
    <t>1910.III.i.   ΚΑΤ ΔΙΑΝΟΜΗ FTTH 15-30m ΕΠ ΔΙΑΜ ΝΕΑ ΥΠΟΔ</t>
  </si>
  <si>
    <t>ΚΑΤΚ ΕΠΕΝΔ ΤΦΡ ΟΜΒΡ ΥΔ ΣΚΥΡΟΔC12/15,15cm</t>
  </si>
  <si>
    <t>1.3061</t>
  </si>
  <si>
    <t>ΠΡΟΜΗΘΕΙΑ &amp; ΤΟΠΟΘΕΤΗΣΗ ΣΥΡΜΑΤΟΠΛΕΓΜΑΤΟΣ</t>
  </si>
  <si>
    <t>1998.6</t>
  </si>
  <si>
    <t>1910.III.ii.   ΚΑΤ ΔΙΑΝΟΜΗ FTTH15-30mΕΠ ΑΔΙΑήΧΩΡ ΝΕΑ ΥΠ</t>
  </si>
  <si>
    <t>1.3155</t>
  </si>
  <si>
    <t>1999.1</t>
  </si>
  <si>
    <t>ΚΟΠΗ ΠΛΑΣΤ ΣΩΛΗΝΩΝ &amp; ΤΟΠΟΘΕΤ ΣΕ ΤΑΦΡΟΥΣ</t>
  </si>
  <si>
    <t>ΑΠΟΞ ΕΝΑΕΡ ΚΑΡΦ ΟΠΤ ΚΑΛ</t>
  </si>
  <si>
    <t>1915.I.i.   ΚΑΤ ΔΙΑΝΟΜΗ FTTH -2m ΕΠΑΝ ΔΙΑΜ ΥΦΙΣ ΥΠΟΔ</t>
  </si>
  <si>
    <t>1.3221</t>
  </si>
  <si>
    <t>ΤΟΠΟΘΕΤΗΣΗ ΚΑΛΩΔΙΟΣΗΜΟΥ ΟΤΕ</t>
  </si>
  <si>
    <t>1999.2</t>
  </si>
  <si>
    <t>1915.I.ii.   ΚΑΤ ΔΙΑΝΟΜΗ FTTH-2m ΕΠΑΝ ΑΔΙΑήΧΩΡ ΥΦΙ ΥΠ</t>
  </si>
  <si>
    <t>1.3222</t>
  </si>
  <si>
    <t>ΚΑΤΑΣΚ &amp;ΤΟΠΟΘ ΚΑΛΩΔΙΟΣΗΜΟΥ ΠΡΟΔΙΑΓΡ ΟΤΕ</t>
  </si>
  <si>
    <t>1999.3</t>
  </si>
  <si>
    <t>1.4011.1</t>
  </si>
  <si>
    <t>ΚΑΤΑΣΚ ΣΥΝΔ Φ0,8/9 ΜΕ ΧΡΗΣΗ ΜΗΧ ΣΥΝΔ 10'</t>
  </si>
  <si>
    <t>1915.II.i.   ΚΑΤ ΔΙΑΝΟΜΗ FTTH 2-15m ΕΠ ΔΙΑΜ ΥΦΙΣ ΥΠΟΔ</t>
  </si>
  <si>
    <t>1.4011.10</t>
  </si>
  <si>
    <t>ΚΑΤΑΣ ΣΥΝΔ Φ0,8/9 ΜΕ ΧΡΗΣΗ ΜΗΧ ΣΥΝΔ 200'</t>
  </si>
  <si>
    <t>1984.i.</t>
  </si>
  <si>
    <t>ΚΑΤ ΟΡΙΖ ΚΟΙ ΦΥΣΙΚΗ ΣΥΝ ΣΩΛ ΙΔΙΟ ΕΠΙΠ&lt;5m</t>
  </si>
  <si>
    <t>1915.II.ii.   ΚΑΤ ΔΙΑΝΟΜΗ FTTH 2-15mΕΠ ΑΔΙΑήΧΩΡ ΥΦΙ ΥΠ</t>
  </si>
  <si>
    <t>1.4011.11</t>
  </si>
  <si>
    <t>ΚΑΤΑΣ ΣΥΝΔ Φ0,8/9 ΜΕ ΧΡΗΣΗ ΜΗΧ ΣΥΝΔ 250'</t>
  </si>
  <si>
    <t>1984.ii.</t>
  </si>
  <si>
    <t>ΚΑΤ ΟΡΙΖ ΚΟΙ ΦΥΣΙΚΗ ΣΥΝ ΣΩΛ ΙΔΙΟ ΕΠΙΠ&gt;5m</t>
  </si>
  <si>
    <t>1.4011.12</t>
  </si>
  <si>
    <t>ΚΑΤΑΣ ΣΥΝΔ Φ0,8/9 ΜΕ ΧΡΗΣΗ ΜΗΧ ΣΥΝΔ 300'</t>
  </si>
  <si>
    <t>1915.IV.i.   ΚΑΤ ΔΙΑΝΟΜΗ FTTH 15-30m ΕΠ ΔΙΑΜ ΥΦΙ ΥΠΟΔ</t>
  </si>
  <si>
    <t>1.7160</t>
  </si>
  <si>
    <t>ΣΥΝΔΕΣΗ ΣΩΛΙΝΙΣΚΩΝ  ΟΠΟΙΑΔ ΤΥΠ ΣΕ ΦΡΕΑΤ</t>
  </si>
  <si>
    <t>1.4011.13</t>
  </si>
  <si>
    <t>ΚΑΤΑΣ ΣΥΝΔ Φ0,8/9 ΜΕ ΧΡΗΣΗ ΜΗΧ ΣΥΝΔ 350'</t>
  </si>
  <si>
    <t>1915.IV.ii.   ΚΑΤ ΔΙΑΝΟΜΗ FTTH15-30mΕΠ ΑΔΙΑήΧΩΡ ΥΦΙ ΥΠ</t>
  </si>
  <si>
    <t>1.4011.14</t>
  </si>
  <si>
    <t>ΚΑΤΑΣ ΣΥΝΔ Φ0,8/9 ΜΕ ΧΡΗΣΗ ΜΗΧ ΣΥΝΔ 400'</t>
  </si>
  <si>
    <t>1.7161</t>
  </si>
  <si>
    <t>ΣΥΝΔΕΣΗ ΣΩΛΙΝΙΣΚΩΝ  ΟΠΟΙΑΔ ΤΥΠ ΣΕ ΤΑΦΡΟ</t>
  </si>
  <si>
    <t>1.4011.15</t>
  </si>
  <si>
    <t>1920   ΚΑΤ&amp;ΤΟΠΟΘ ΒΑΣ ΚΑΜΠ G1 &amp;ΥΠΟΔ ΣΥΝΔ ΜΕ ΦΡΕΑ</t>
  </si>
  <si>
    <t>ΚΑΤΑΣ ΣΥΝΔ Φ0,8/9 ΜΕ ΧΡΗΣΗ ΜΗΧ ΣΥΝΔ 500'</t>
  </si>
  <si>
    <t>1.4011.16</t>
  </si>
  <si>
    <t>ΚΑΤΑΣ ΣΥΝΔ Φ0,8/9 ΜΕ ΧΡΗΣΗ ΜΗΧ ΣΥΝΔ 600'</t>
  </si>
  <si>
    <t>1.4011.17</t>
  </si>
  <si>
    <t>ΚΑΤΑΣ ΣΥΝΔ Φ0,8/9 ΜΕ ΧΡΗΣΗ ΜΗΧ ΣΥΝΔ 750'</t>
  </si>
  <si>
    <t>1900.1.I.i.   Μ/Τ ΠΛ ΣΤ 8Χ30cm ΕΠΑΝ ΑΣΦΑΛΤΟΣήΣΚΥΡ FTTH</t>
  </si>
  <si>
    <t>1.4011.2</t>
  </si>
  <si>
    <t>1915.I.i.</t>
  </si>
  <si>
    <t>ΚΑΤΑΣΚ ΣΥΝΔ Φ0,8/9 ΜΕ ΧΡΗΣΗ ΜΗΧ ΣΥΝΔ 20'</t>
  </si>
  <si>
    <t>ΚΑΤ ΔΙΑΝΟΜΗ FTTH -2m ΕΠΑΝ ΔΙΑΜ ΥΦΙΣ ΥΠΟΔ</t>
  </si>
  <si>
    <t>1.4011.3</t>
  </si>
  <si>
    <t>ΚΑΤΑΣΚ ΣΥΝΔ Φ0,8/9 ΜΕ ΧΡΗΣΗ ΜΗΧ ΣΥΝΔ 30'</t>
  </si>
  <si>
    <t>1915.I.ii.</t>
  </si>
  <si>
    <t>ΚΑΤ ΔΙΑΝΟΜΗ FTTH-2m ΕΠΑΝ ΑΔΙΑήΧΩΡ ΥΦΙ ΥΠ</t>
  </si>
  <si>
    <t>1.4011.4</t>
  </si>
  <si>
    <t>ΚΑΤΑΣΚ ΣΥΝΔ Φ0,8/9 ΜΕ ΧΡΗΣΗ ΜΗΧ ΣΥΝΔ 40'</t>
  </si>
  <si>
    <t>1915.II.i.</t>
  </si>
  <si>
    <t>1.4011.5</t>
  </si>
  <si>
    <t>ΚΑΤ ΔΙΑΝΟΜΗ FTTH 2-15m ΕΠ ΔΙΑΜ ΥΦΙΣ ΥΠΟΔ</t>
  </si>
  <si>
    <t>ΚΑΤΑΣΚ ΣΥΝΔ Φ0,8/9 ΜΕ ΧΡΗΣΗ ΜΗΧ ΣΥΝΔ 50'</t>
  </si>
  <si>
    <t>1915.II.ii.</t>
  </si>
  <si>
    <t>1.4011.6</t>
  </si>
  <si>
    <t>ΚΑΤ ΔΙΑΝΟΜΗ FTTH 2-15mΕΠ ΑΔΙΑήΧΩΡ ΥΦΙ ΥΠ</t>
  </si>
  <si>
    <t>ΚΑΤΑΣΚ ΣΥΝΔ Φ0,8/9 ΜΕ ΧΡΗΣΗ ΜΗΧ ΣΥΝΔ 70'</t>
  </si>
  <si>
    <t>1.4011.7</t>
  </si>
  <si>
    <t>ΚΑΤΑΣ ΣΥΝΔ Φ0,8/9 ΜΕ ΧΡΗΣΗ ΜΗΧ ΣΥΝΔ 100'</t>
  </si>
  <si>
    <t>1915.IV.i.</t>
  </si>
  <si>
    <t>ΚΑΤ ΔΙΑΝΟΜΗ FTTH 15-30m ΕΠ ΔΙΑΜ ΥΦΙ ΥΠΟΔ</t>
  </si>
  <si>
    <t>1.4011.8</t>
  </si>
  <si>
    <t>ΚΑΤΑΣ ΣΥΝΔ Φ0,8/9 ΜΕ ΧΡΗΣΗ ΜΗΧ ΣΥΝΔ 120'</t>
  </si>
  <si>
    <t>1915.IV.ii.</t>
  </si>
  <si>
    <t>ΚΑΤ ΔΙΑΝΟΜΗ FTTH15-30mΕΠ ΑΔΙΑήΧΩΡ ΥΦΙ ΥΠ</t>
  </si>
  <si>
    <t>1.4011.9</t>
  </si>
  <si>
    <t>ΚΑΤΑΣ ΣΥΝΔ Φ0,8/9 ΜΕ ΧΡΗΣΗ ΜΗΧ ΣΥΝΔ 150'</t>
  </si>
  <si>
    <t>1.4021.1</t>
  </si>
  <si>
    <t>ΚΑΤΑΣΚ ΣΥΝΔ Φ0,9 ΜΕ ΧΡΗΣΗ ΑΤΟΜ ΣΥΝΔ 20''</t>
  </si>
  <si>
    <t>2601   ΔΙΑΝΟΙΞΗ ΟΠΗΣ ΣΕ ΤΟΙΧΟΠΟΙΙΑ</t>
  </si>
  <si>
    <t>1900.1.I.iii.   Μ/Τ ΠΛ ΣΤ 16Χ45-16Χ50cm ΕΠΑΝ ΑΣΦΑΛΤ FTTH</t>
  </si>
  <si>
    <t>1.4021.2</t>
  </si>
  <si>
    <t>ΚΑΤΑΣΚ ΣΥΝΔ Φ0,9 ΜΕ ΧΡΗΣΗ ΑΤΟΜ ΣΥΝΔ 30'</t>
  </si>
  <si>
    <t>2650   ΑΝΤΛΗΣΗ ΥΔΑΤΩΝ ΜΕ ΑΝΤΛΙΑ</t>
  </si>
  <si>
    <t>H</t>
  </si>
  <si>
    <t>1900.1.I.iv.   Μ/Τ ΠΛ ΣΤ 16Χ55-16Χ60cm ΕΠΑΝ ΑΣΦΑΛΤ FTTH</t>
  </si>
  <si>
    <t>1.4021.3</t>
  </si>
  <si>
    <t>ΚΑΤΑΣΚ ΣΥΝΔ Φ0,9 ΜΕ ΧΡΗΣΗ ΑΤΟΜ ΣΥΝΔ 40''</t>
  </si>
  <si>
    <t>3106.1</t>
  </si>
  <si>
    <t>3106.1   ΤΟΠ ΜΕΜΟΝΟΜΕΝΩΝ ΠΛ ΣΩΛ &amp; ΑΝΤΛΗΣΗ ΥΔΑΤΩΝ</t>
  </si>
  <si>
    <t>1.4021.4</t>
  </si>
  <si>
    <t>ΚΑΤΑΣΚ ΣΥΝΔ Φ0,9 ΜΕ ΧΡΗΣΗ ΑΤΟΜ ΣΥΝΔ 50'</t>
  </si>
  <si>
    <t>1900.1.II.v.   Μ/Τ ΧΩΡ ΠΛ ΣΤ 5Χ45-6Χ45cm ΕΠΑΝ ΑΣΦΑ FTTH</t>
  </si>
  <si>
    <t>1.4021.5</t>
  </si>
  <si>
    <t>ΚΑΤΑΣΚ ΣΥΝΔ Φ0,9 ΜΕ ΧΡΗΣΗ ΑΤΟΜ ΣΥΝΔ 70''</t>
  </si>
  <si>
    <t>ΣΥΝΟΛΙΚΟ ΚΟΣΤΟΣ ΕΡΓΑΣΙΑΣ ΣΕ ΕΥΡΩ:             (ΤΙΜΗ ΟΤΕ)</t>
  </si>
  <si>
    <t>1.4021.6</t>
  </si>
  <si>
    <t>ΚΑΤΑΣΚ ΣΥΝΔ Φ0,9 ΜΕ ΧΡΗΣΗ ΑΤΟΜ ΣΥΝΔ 100'</t>
  </si>
  <si>
    <t>1.4021.7</t>
  </si>
  <si>
    <t>ΚΑΤΑΣΚ ΣΥΝΔ Φ0,9 ΜΕ ΧΡΗΣΗ ΑΤΟΜ ΣΥΝΔ 150'</t>
  </si>
  <si>
    <t>1900.1.II.vi.   Μ/Τ ΧΩΡ ΠΛ ΣΤ 5Χ30-6Χ30cm ΕΠΑΝ ΑΣΦΑ FTTH</t>
  </si>
  <si>
    <t>1.4111.1</t>
  </si>
  <si>
    <t>ΚΑΤΑΣΚ ΣΥΝΔ Φ0,8/9 ΟΠΛ ΚΑΛ ΜΗΧ ΣΥΝΔ 10''</t>
  </si>
  <si>
    <t>1.4111.10</t>
  </si>
  <si>
    <t>ΚΑΤΑΣΚ ΣΥΝΔ Φ0,8/9 ΟΠΛ ΚΑΛ ΜΗΧ ΣΥΝΔ 200'</t>
  </si>
  <si>
    <t>1.4111.11</t>
  </si>
  <si>
    <t>ΚΑΤΑΣΚ ΣΥΝΔ Φ0,8/9 ΟΠΛ ΚΑΛ ΜΗΧ ΣΥΝΔ 250'</t>
  </si>
  <si>
    <r>
      <rPr>
        <rFont val="Calibri"/>
        <b/>
        <color rgb="FF000000"/>
        <sz val="10.0"/>
      </rPr>
      <t xml:space="preserve">ΠΟΣΟΣΤΟ ΕΚΠΤΩΣΗΣ </t>
    </r>
    <r>
      <rPr>
        <rFont val="Calibri"/>
        <color rgb="FF000000"/>
        <sz val="9.0"/>
      </rPr>
      <t>(συμπληρώστε με δεκαδικά, π.χ. 0,07 αν η έκπτωση είναι 7%)</t>
    </r>
  </si>
  <si>
    <t>ΣΥΝΟΛΙΚΟ ΚΟΣΤΟΣ ΕΡΓΑΣΙΑΣ ΣΕ ΕΥΡΩ:             (ΤΙΜΗ ΕΡΓΑΤΗΚΑΤ)</t>
  </si>
  <si>
    <t>1.4111.12</t>
  </si>
  <si>
    <t>ΚΑΤΑΣΚ ΣΥΝΔ Φ0,8/9 ΟΠΛ ΚΑΛ ΜΗΧ ΣΥΝΔ 300'</t>
  </si>
  <si>
    <t>1.4111.13</t>
  </si>
  <si>
    <t>ΚΑΤΑΣΚ ΣΥΝΔ Φ0,8/9 ΟΠΛ ΚΑΛ ΜΗΧ ΣΥΝΔ 350'</t>
  </si>
  <si>
    <t>1900.2.I.i.   Μ/Τ ΠΛ ΣΤ 8Χ30cm ΧΩΡΙΣ ΕΠΑΝ ή ΑΔΙΑΜ FTTH</t>
  </si>
  <si>
    <t>1.4111.14</t>
  </si>
  <si>
    <t>ΚΑΤΑΣΚ ΣΥΝΔ Φ0,8/9 ΟΠΛ ΚΑΛ ΜΗΧ ΣΥΝΔ 400'</t>
  </si>
  <si>
    <t>1900.2.I.ii.   Μ/Τ ΠΛ ΣΤ 8Χ45,10Χ45-50cm ΧΩΡ ΕΠΑΝ FTTH</t>
  </si>
  <si>
    <t>1.4111.15</t>
  </si>
  <si>
    <t>ΚΑΤΑΣΚ ΣΥΝΔ Φ0,8/9 ΟΠΛ ΚΑΛ ΜΗΧ ΣΥΝΔ 500'</t>
  </si>
  <si>
    <t>1900.2.I.iii.   Μ/Τ ΠΛ ΣΤ 16Χ45-16Χ50cm ΧΩΡΙΣ ΕΠΑΝ FTTH</t>
  </si>
  <si>
    <t>1.4111.16</t>
  </si>
  <si>
    <t>ΚΑΤΑΣΚ ΣΥΝΔ Φ0,8/9 ΟΠΛ ΚΑΛ ΜΗΧ ΣΥΝΔ 600'</t>
  </si>
  <si>
    <t>1900.2.I.iv.   Μ/Τ ΠΛ ΣΤ 16Χ55-16Χ60cm ΧΩΡΙΣ ΕΠΑΝ FTTH</t>
  </si>
  <si>
    <t>1.4111.17</t>
  </si>
  <si>
    <t>ΚΑΤΑΣΚ ΣΥΝΔ Φ0,8/9 ΟΠΛ ΚΑΛ ΜΗΧ ΣΥΝΔ 750'</t>
  </si>
  <si>
    <t>1900.2.II.v.   Μ/Τ ΧΩΡ ΠΛ ΣΤ 5Χ45-6Χ45cm ΧΩΡ ΕΠΑΝ FTTH</t>
  </si>
  <si>
    <t>1.4111.2</t>
  </si>
  <si>
    <t>ΚΑΤΑΣΚ ΣΥΝΔ Φ0,8/9 ΟΠΛ ΚΑΛ ΜΗΧ ΣΥΝΔ 20''</t>
  </si>
  <si>
    <t>1900.2.II.vi.   Μ/Τ ΧΩΡ ΠΛ ΣΤ 5Χ30-6Χ30cm ΧΩΡ ΕΠΑΝ FTTH</t>
  </si>
  <si>
    <t>1.4111.3</t>
  </si>
  <si>
    <t>ΚΑΤΑΣΚ ΣΥΝΔ Φ0,8/9 ΟΠΛ ΚΑΛ ΜΗΧ ΣΥΝΔ 30''</t>
  </si>
  <si>
    <t>1900.3.I.i.   Μ/Τ ΠΛ ΣΤ 8Χ30cm ΕΠΑΝ ΛΟΙΠ ΔΙΑΜ ΠΕΡ FTTH</t>
  </si>
  <si>
    <t>1.4111.4</t>
  </si>
  <si>
    <t>ΚΑΤΑΣΚ ΣΥΝΔ Φ0,8/9 ΟΠΛ ΚΑΛ ΜΗΧ ΣΥΝΔ 40''</t>
  </si>
  <si>
    <t>1.4111.5</t>
  </si>
  <si>
    <t>1900.3.I.ii.   Μ/Τ ΠΛ ΣΤ 8Χ45,10Χ45-50cm ΕΠΑΝ ΛΟΙΠ FTTH</t>
  </si>
  <si>
    <t>ΚΑΤΑΣΚ ΣΥΝΔ Φ0,8/9 ΟΠΛ ΚΑΛ ΜΗΧ ΣΥΝΔ 50''</t>
  </si>
  <si>
    <t>1900.3.I.iii.   Μ/Τ ΠΛ ΣΤ 16Χ45-16Χ50cm ΕΠΑΝ ΛΟΙΠ FTTH</t>
  </si>
  <si>
    <t>1.4111.6</t>
  </si>
  <si>
    <t>ΚΑΤΑΣΚ ΣΥΝΔ Φ0,8/9 ΟΠΛ ΚΑΛ ΜΗΧ ΣΥΝΔ 70''</t>
  </si>
  <si>
    <t>1900.3.I.iv.   Μ/Τ ΠΛ ΣΤ 16Χ55-16Χ60cm ΕΠΑΝ ΛΟΙΠ FTTH</t>
  </si>
  <si>
    <t>1.4111.7</t>
  </si>
  <si>
    <t>ΚΑΤΑΣΚ ΣΥΝΔ Φ0,8/9 ΟΠΛ ΚΑΛ ΜΗΧ ΣΥΝΔ 100'</t>
  </si>
  <si>
    <t>1900.3.II.v.   Μ/Τ ΧΩΡ ΠΛ ΣΤ 5Χ45-6Χ45cm ΕΠΑΝ ΛΟΙΠ FTTH</t>
  </si>
  <si>
    <t>1.4111.8</t>
  </si>
  <si>
    <t>ΚΑΤΑΣΚ ΣΥΝΔ Φ0,8/9 ΟΠΛ ΚΑΛ ΜΗΧ ΣΥΝΔ 120'</t>
  </si>
  <si>
    <t>1900.3.II.vi.   Μ/Τ ΧΩΡ ΠΛ ΣΤ 5Χ30-6Χ30cmΕΠΑΝ ΛΟΙΠ FTTH</t>
  </si>
  <si>
    <t>1.4111.9</t>
  </si>
  <si>
    <t>ΚΑΤΑΣΚ ΣΥΝΔ Φ0,8/9 ΟΠΛ ΚΑΛ ΜΗΧ ΣΥΝΔ 150'</t>
  </si>
  <si>
    <t>1925   ΚΑΤΑΣΚΕΥΗ ΦΡΕΑΤΙΩΝ FTTH ΤΥΠΟΥ ΦΙΙΙ</t>
  </si>
  <si>
    <t>1.4121.1</t>
  </si>
  <si>
    <t>ΚΑΤΑΣΚ ΣΥΝΔ Φ0,9 ΟΠΛ ΚΑΛ ΑΤΟΜ ΣΥΝΔ 20''</t>
  </si>
  <si>
    <t>1927.i.   ΚΑΤΑΣ ΦΡΕΑΤΙΩΝ FTTH ΤΥΠΟΥ ΦIV</t>
  </si>
  <si>
    <t>1.4121.2</t>
  </si>
  <si>
    <t>ΚΑΤΑΣΚ ΣΥΝΔ Φ0,9 ΟΠΛ ΚΑΛ ΑΤΟΜ ΣΥΝΔ 30''</t>
  </si>
  <si>
    <t>1927.ii.   ΚΑΤΑΣΚ ΦΡΕΑΤΙΩΝ FTTH ΤΥΠΟΥ ΦΙVΑ</t>
  </si>
  <si>
    <t>1.4121.3</t>
  </si>
  <si>
    <t>ΚΑΤΑΣΚ ΣΥΝΔ Φ0,9 ΟΠΛ ΚΑΛ ΑΤΟΜ ΣΥΝΔ 40''</t>
  </si>
  <si>
    <t>1930   ΔΙΑΣ ΣΩΛΗΝΙΣΚ ΦΡΕΑΤ ή ΚΟΥΤ ΔΙΑΚΛΑΔΩ FTTH</t>
  </si>
  <si>
    <t>1.4121.4</t>
  </si>
  <si>
    <t>ΚΑΤΑΣΚ ΣΥΝΔ Φ0,9 ΟΠΛ ΚΑΛ ΑΤΟΜ ΣΥΝΔ 50''</t>
  </si>
  <si>
    <t>1935   ΚΑΤ ΔΙΑΚΛΑΔ ΥΠΟΓ ΣΩΛΗΝΩΝ ή ΠΟΛΥΣΩΛ FTTH</t>
  </si>
  <si>
    <t>1.4121.5</t>
  </si>
  <si>
    <t>ΚΑΤΑΣΚ ΣΥΝΔ Φ0,9 ΟΠΛ ΚΑΛ ΑΤΟΜ ΣΥΝΔ 70''</t>
  </si>
  <si>
    <t>1940.1   ΑΠΟΚ ΑΣΦΑΛ ΟΔΟΣ FTTH 5cm Α265 ΥΦΙΣΤ ΟΔΟΣ</t>
  </si>
  <si>
    <t>1.4121.6</t>
  </si>
  <si>
    <t>ΚΑΤΑΣΚ ΣΥΝΔ Φ0,9 ΟΠΛ ΚΑΛ ΑΤΟΜ ΣΥΝΔ 100''</t>
  </si>
  <si>
    <t>1940.2   ΑΠΟΚ ΑΣΦ ΟΔΟΣ FTTH 5cm Α265 ΥΦ ΟΔΟΣ 30CM</t>
  </si>
  <si>
    <t>1.4121.7</t>
  </si>
  <si>
    <t>ΚΑΤΑΣΚ ΣΥΝΔ Φ0,9 ΟΠΛ ΚΑΛ ΑΤΟΜ ΣΥΝΔ 150''</t>
  </si>
  <si>
    <t>1940.3   ΑΠΟΚ ΑΣΦ ΟΔΟΣ FTTH 5cm Α265 ΥΦ ΟΔΟΣ 50CM</t>
  </si>
  <si>
    <t>1.4201.1</t>
  </si>
  <si>
    <t>1945   ΕΚΠΟΝΗΣΗ ΚΥΚΛΟΦ ΜΕΛΕΤΗ ΕΡΓΑΣΙΩΝ FTTH</t>
  </si>
  <si>
    <t>ΚΑΤΑΣΚ ΣΥΝΔΕΣΜΩΝ ΕΝΑΕΡ ΚΑΛ ΣΧ 8 / 2' ή4'</t>
  </si>
  <si>
    <t>1946   ΕΓΚΑΤ ΣΥΝΕΡΓ ΕΚΤΑΚΤΩΝ ΑΝΑΓΚΩΝ ΑΣΦΑΛΤ</t>
  </si>
  <si>
    <t>1.4201.10</t>
  </si>
  <si>
    <t>ΚΑΤΑΣ ΣΥΝΔΕΣΜΩΝ ΕΝΑΕΡΙΩΝ  ΚΑΛ ΣΧ 8 /150'</t>
  </si>
  <si>
    <t>1947   ΑΠΟΜ ΕΠΑΝΕΓΚ ΣΥΝΕΡΓ ΣΕ ΝΗΣ ΠΕΡ ΔΙΑΚ ΕΡΓ</t>
  </si>
  <si>
    <t>1.4201.2</t>
  </si>
  <si>
    <t>ΚΑΤΑΣΚ ΣΥΝΔΕΣΜΩΝ ΕΝΑΕΡΙΩΝ  ΚΑΛ ΣΧ 8 / 6'</t>
  </si>
  <si>
    <t>2002   ΠΡΟΜΗΘ ή ΠΑΡΑΣΚΕΥΗ ΣΚΥΡΟΔΕΜ ΚΑΤΗΓ C12/15</t>
  </si>
  <si>
    <t>1.4201.3</t>
  </si>
  <si>
    <t>ΚΑΤΑΣΚ ΣΥΝΔΕΣΜΩΝ ΕΝΑΕΡΙΩΝ  ΚΑΛ ΣΧ 8 /10'</t>
  </si>
  <si>
    <t>2003   ΠΡΟΜΗΘ ή ΠΑΡΑΣΚΕΥΗ ΣΚΥΡΟΔΕΜ ΚΑΤΗΓ C16/20</t>
  </si>
  <si>
    <t>1.4201.4</t>
  </si>
  <si>
    <t>ΚΑΤΑΣΚ ΣΥΝΔΕΣΜΩΝ ΕΝΑΕΡΙΩΝ  ΚΑΛ ΣΧ 8 /20'</t>
  </si>
  <si>
    <t>2004   ΠΡΟΜ ή ΠΑΡΑΣΚ ΣΚΥΡΟΔ ΤΥΠ TRANCHEES,REMBL</t>
  </si>
  <si>
    <t>1.4201.5</t>
  </si>
  <si>
    <t>ΚΑΤΑΣΚ ΣΥΝΔΕΣΜΩΝ ΕΝΑΕΡΙΩΝ  ΚΑΛ ΣΧ 8 /30'</t>
  </si>
  <si>
    <t>2051   ΞΥΛΟΤΥΠΟΣ ΕΓΚΙΒΩΤΙΣΜΟΥ ΣΚΥΡΟΔΕΜΑΤΟΣ</t>
  </si>
  <si>
    <t>1.4201.6</t>
  </si>
  <si>
    <t>ΚΑΤΑΣΚ ΣΥΝΔΕΣΜΩΝ ΕΝΑΕΡΙΩΝ  ΚΑΛ ΣΧ 8 /40'</t>
  </si>
  <si>
    <t>2071   ΠΡΟΜΗΘΕΙΑ ΣΙΔΗΡΟΥΣ ΟΠΛΙΣΜΟΣ  S 500 S</t>
  </si>
  <si>
    <t>1.4201.7</t>
  </si>
  <si>
    <t>2081   ΠΡΟΜ ΣΙΔΗΡΟΥΣ ΟΠΛΙΣΜΟΣ S500S ΔΟΜ ΠΛΕΓΜΑ</t>
  </si>
  <si>
    <t>ΚΑΤΑΣΚ ΣΥΝΔΕΣΜΩΝ ΕΝΑΕΡΙΩΝ  ΚΑΛ ΣΧ 8 /50'</t>
  </si>
  <si>
    <t>2101   ΕΠΑΝΑΦΟΡΑ ΥΠΟΣΤΡ ΠΕΖΟΔΡ ΜΕ ΣΚΥΡΟΔ C12/15</t>
  </si>
  <si>
    <t>1.4201.8</t>
  </si>
  <si>
    <t>ΚΑΤΑΣΚ ΣΥΝΔΕΣΜΩΝ ΕΝΑΕΡΙΩΝ  ΚΑΛ ΣΧ 8 /70'</t>
  </si>
  <si>
    <t>2111   ΕΠΑΝΑΦΟΡΑ ΠΕΖΟΔΡΟΜ ΜΕ ΣΚΥΡΟΔ C12/15 10cm</t>
  </si>
  <si>
    <t>1.4201.9</t>
  </si>
  <si>
    <t>ΚΑΤΑΣ ΣΥΝΔΕΣΜΩΝ ΕΝΑΕΡΙΩΝ  ΚΑΛ ΣΧ 8 /100'</t>
  </si>
  <si>
    <t>2113   ΚΑΤΑΣΚ ΕΠΙΣΤΡΩΣ ΤΑΦΡ ΟΜΒΡ ΥΔ C12/15 10ΕΚ</t>
  </si>
  <si>
    <t>1.4301.1</t>
  </si>
  <si>
    <t>ΚΑΤ ΤΕΡΜ ΣΥΝ ΚΑΛ ΣΩΛ/ΥΠ ΜΕ ΚΑΛ ΤΕΡ ΓΚ50'</t>
  </si>
  <si>
    <t>2115   ΕΠΑΝΑΦ ΠΕΖΟΔΡ ή ΟΔΟΣΤΡΩΜ ΜΕ C12/15 20 ΕΚ</t>
  </si>
  <si>
    <t>1.4301.10</t>
  </si>
  <si>
    <t>ΚΑΤ ΤΕΡ ΣΥΝ ΚΑΛ ΣΩΛ/ΥΠ ΜΕ ΚΑΛ ΤΕΡ ΓΚ400'</t>
  </si>
  <si>
    <t>2121   ΕΠΑΝ ΠΕΖΟΔΡ/ΠΕΖΟΔΡΟΜΟΥ/ΟΔΟΣΤ C16/20 10ΕΚ</t>
  </si>
  <si>
    <t>1.4301.11</t>
  </si>
  <si>
    <t>ΚΑΤ ΤΕΡ ΣΥΝ ΚΑΛ ΣΩΛ/ΥΠ ΜΕ ΚΑΛ ΤΕΡ ΓΚ500'</t>
  </si>
  <si>
    <t>2135   ΕΠΑΝ ΠΕΖ ΛΕΥΚΗήΧΡΩΜ ΤΣΙΜ/ΝΙΑ C12/15-10cm</t>
  </si>
  <si>
    <t>1.4301.12</t>
  </si>
  <si>
    <t>ΚΑΤ ΤΕΡ ΣΥΝ ΚΑΛ ΣΩΛ/ΥΠ ΜΕ ΚΑΛ ΤΕΡ ΓΚ600'</t>
  </si>
  <si>
    <t>2145   ΕΠΑΝΑΦΟΡΑ ΠΕΖΟΔΡΟΜ ΜΕ ΜΩΣΑΙΚΟ C12/15-8cm</t>
  </si>
  <si>
    <t>1.4301.13</t>
  </si>
  <si>
    <t>ΚΑΤ ΤΕΡ ΣΥΝ ΚΑΛ ΣΩΛ/ΥΠ ΜΕ ΚΑΛ ΤΕΡ ΓΚ750'</t>
  </si>
  <si>
    <t>2155   ΕΠΑΝ ΠΕΖΟΔΡ ΤΕΧΝ ΠΛΑΚΕήΠΛΑΚΙΔ C12/15-8cm</t>
  </si>
  <si>
    <t>1.4301.14</t>
  </si>
  <si>
    <t>ΚΑΤ ΤΕΡ ΣΥΝ ΚΑΛ ΣΩΛ/ΥΠ ΜΕ ΚΑΛ ΤΕΡ ΓΚ800'</t>
  </si>
  <si>
    <t>2175   ΕΠΑΝΑΦ ΠΕΖΟΔΡ ΣΧΙΣΤΟΛΙΘ ΠΛΑΚΕ C12/15-8cm</t>
  </si>
  <si>
    <t>1.4301.15</t>
  </si>
  <si>
    <t>ΚΑΤ ΤΕΡ ΣΥΝ ΚΑΛ ΣΩ/ΥΠ ΜΕ ΚΑΛ ΤΕΡ ΓΚ1000'</t>
  </si>
  <si>
    <t>2205   ΕΠΑΝ ΠΕΖΟΔΡΟΜ ΜΑΡΜΑΡΙΝ ΠΛΑΚΕΣ C12/15-8cm</t>
  </si>
  <si>
    <t>1.4301.16</t>
  </si>
  <si>
    <t>ΚΑΤ ΤΕΡ ΣΥΝ ΚΑΛ ΣΩ/ΥΠ ΜΕ ΚΑΛ ΤΕΡ ΓΚ1200'</t>
  </si>
  <si>
    <t>2221   ΕΠΑΝΑΦ ΠΕΖΟΔΡ ΜΕ ΦΥΣΙΚ ή ΤΕΧΝ ΚΥΒΟΛΙΘΟΥΣ</t>
  </si>
  <si>
    <t>1.4301.17</t>
  </si>
  <si>
    <t>ΚΑΤ ΤΕΡ ΣΥΝ ΚΑΛ ΣΩ/ΥΠ ΜΕ ΚΑΛ ΤΕΡ ΓΚ1400'</t>
  </si>
  <si>
    <t>1.4301.18</t>
  </si>
  <si>
    <t>ΚΑΤ ΤΕΡ ΣΥΝ ΚΑΛ ΣΩ/ΥΠ ΜΕ ΚΑΛ ΤΕΡ ΓΚ1800'</t>
  </si>
  <si>
    <t>2301   ΕΠΑΝΑΦ ΥΠΟΣΤΡΩΜΑΤΟΣ ΟΔΟΥ ΜΕ C12/15 15cm</t>
  </si>
  <si>
    <t>1.4301.19</t>
  </si>
  <si>
    <t>ΚΑΤ ΤΕΡ ΣΥΝ ΚΑΛ ΣΩ/ΥΠ ΜΕ ΚΑΛ ΤΕΡ ΓΚ2400'</t>
  </si>
  <si>
    <t>2317   ΕΠΑΝ ΚΑΤΑΣΤΡ ΟΔΟΥ ή ΤΑΦ ΟΜΒΡ C16/20 10cm</t>
  </si>
  <si>
    <t>2331   ΕΠΑΝΑΦ ΚΑΤΑΣΤΡΩΜΑΤΟΣ ΟΔΟΥ ΜΕ ΚΥΒΟΛΙΘΟΥΣ</t>
  </si>
  <si>
    <t>1.4301.2</t>
  </si>
  <si>
    <t>ΚΑΤ ΤΕΡΜ ΣΥΝ ΚΑΛ ΣΩΛ/ΥΠ ΜΕ ΚΑΛ ΤΕΡ ΓΚ70'</t>
  </si>
  <si>
    <t>2403   ΕΠΑΝΑΦ ΚΑΤ ΟΔΟΥ ΑΣΦΑΛ/ΜΙΓΜΑ ΠΤΠΑ245 5cm</t>
  </si>
  <si>
    <t>1.4301.3</t>
  </si>
  <si>
    <t>ΚΑΤ ΤΕΡ ΣΥΝ ΚΑΛ ΣΩΛ/ΥΠ ΜΕ ΚΑΛ ΤΕΡ ΓΚ100'</t>
  </si>
  <si>
    <t>2405   ΕΠΑΝΑΦ ΚΑΤ ΟΔ ΑΣΦΑΛ/ΜΙΓΜΑ ΠΤΠ Α245 10cm</t>
  </si>
  <si>
    <t>1.4301.4</t>
  </si>
  <si>
    <t>ΚΑΤ ΤΕΡ ΣΥΝ ΚΑΛ ΣΩΛ/ΥΠ ΜΕ ΚΑΛ ΤΕΡ ΓΚ120'</t>
  </si>
  <si>
    <t>2421   ΕΠ.ΚΑΤ.ΟΔΟΥ-ΑΣΦ.ΣΚΥΡ.Α265 ΑΣΦ.ΣΤΡ.5ΕΚ</t>
  </si>
  <si>
    <t>1.4301.5</t>
  </si>
  <si>
    <t>ΚΑΤ ΤΕΡ ΣΥΝ ΚΑΛ ΣΩΛ/ΥΠ ΜΕ ΚΑΛ ΤΕΡ ΓΚ150'</t>
  </si>
  <si>
    <t>2423   ΕΠ.ΚΑΤ.ΟΔΟΥ-ΑΣΦ.ΣΚΥΡ.Α265 ΑΣΦ.ΣΤΡ.10ΕΚ</t>
  </si>
  <si>
    <t>1.4301.6</t>
  </si>
  <si>
    <t>ΚΑΤ ΤΕΡ ΣΥΝ ΚΑΛ ΣΩΛ/ΥΠ ΜΕ ΚΑΛ ΤΕΡ ΓΚ200'</t>
  </si>
  <si>
    <t>2425   ΕΠ.ΚΑΤ.ΟΔΟΥ-ΑΣΦ.ΣΚΥΡ.Α265 ΑΣΦ.ΣΤΡ.15ΕΚ</t>
  </si>
  <si>
    <t>2500.1   ΚΑΤ ΒΑΣΗΣ, ΤΟΠΟΘ ΚΑΜΠΙΝΑ &amp; ΗΛΕΚΤΡΟΔΟΤΗΣΗ</t>
  </si>
  <si>
    <t>1.4301.7</t>
  </si>
  <si>
    <t>ΚΑΤ ΤΕΡ ΣΥΝ ΚΑΛ ΣΩΛ/ΥΠ ΜΕ ΚΑΛ ΤΕΡ ΓΚ250'</t>
  </si>
  <si>
    <t>2500.2   ΚΑΤ ΒΑΣΗΣ,ΤΟΠΟΘ ΚΑΜΠΙΝΑ &amp; ΧΩΡΙΣ ΗΛΕΚΤΡΟΔ</t>
  </si>
  <si>
    <t>1.4301.8</t>
  </si>
  <si>
    <t>ΚΑΤ ΤΕΡ ΣΥΝ ΚΑΛ ΣΩΛ/ΥΠ ΜΕ ΚΑΛ ΤΕΡ ΓΚ300'</t>
  </si>
  <si>
    <t>2501   ΚΑΤΑΣΚΕΥΗ ΒΑΣΗΣ &amp; ΤΟΠΟΘΕΤΗΣΗ KV</t>
  </si>
  <si>
    <t>1.4301.9</t>
  </si>
  <si>
    <t>ΚΑΤ ΤΕΡ ΣΥΝ ΚΑΛ ΣΩΛ/ΥΠ ΜΕ ΚΑΛ ΤΕΡ ΓΚ350'</t>
  </si>
  <si>
    <t>2510.1   ΚΑΤΑΣ ΦΡΕΑΤΙΩΝ ΜΙΚΡΟΣΩΛ ΤΥΠ ΦΙ ΕΝΔΙΑΜΕΣΟ</t>
  </si>
  <si>
    <t>1.4501.1</t>
  </si>
  <si>
    <t>ΚΑΤΑΣΚ ΣΥΝΔΕΣΜ ΣΕ ΣΩΛΗΝΩΣΗ ΜΕΤΑΓΩΓΗΣ 10'</t>
  </si>
  <si>
    <t>2510.2   ΚΑΤΑΣ ΦΡΕΑΤΙΩΝ ΜΙΚΡΟΣΩΛ ΤΥΠ ΦΙ ΟΡΘ ΓΩΝΙΑ</t>
  </si>
  <si>
    <t>1.4501.10</t>
  </si>
  <si>
    <t>ΚΑΤΑΣΚ ΣΥΝΔΕΣ ΣΕ ΣΩΛΗΝΩΣΗ ΜΕΤΑΓΩΓΗΣ 300'</t>
  </si>
  <si>
    <t>2510.3   ΚΑΤΑΣ ΦΡΕΑΤΙΩΝ ΜΙΚΡΟΣΩΛ ΤΥΠ ΦΙ ΑΜΒ ΓΩΝΙΑ</t>
  </si>
  <si>
    <t>1.4501.11</t>
  </si>
  <si>
    <t>ΚΑΤΑΣΚ ΣΥΝΔΕΣ ΣΕ ΣΩΛΗΝΩΣΗ ΜΕΤΑΓΩΓΗΣ 400'</t>
  </si>
  <si>
    <t>2510.4   ΚΑΤΑΣ ΦΡΕΑΤΙΩΝ ΜΙΚΡΟΣΩΛ ΤΥΠ ΦΙ ΔΙΑΚΛΑΔ</t>
  </si>
  <si>
    <t>1.4501.12</t>
  </si>
  <si>
    <t>ΚΑΤΑΣΚ ΣΥΝΔΕΣ ΣΕ ΣΩΛΗΝΩΣΗ ΜΕΤΑΓΩΓΗΣ 500'</t>
  </si>
  <si>
    <t>2510.5   ΚΑΤΑΣ ΦΡΕΑΤΙΩΝ ΜΙΚΡΟΣΩΛ ΤΥΠ ΦΙ ΔΙΑΣΤΑΥΡ</t>
  </si>
  <si>
    <t>1.4501.13</t>
  </si>
  <si>
    <t>ΚΑΤΑΣΚ ΣΥΝΔΕΣ ΣΕ ΣΩΛΗΝΩΣΗ ΜΕΤΑΓΩΓΗΣ 600'</t>
  </si>
  <si>
    <t>2510.6   ΚΑΤΑΣΚ ΦΡΕΑΤΙΩΝ ΜΙΚΡΟΣΩΛΗΝΩΣΗΣ ΤΥΠΟΥ ΦΙΑ</t>
  </si>
  <si>
    <t>1.4501.14</t>
  </si>
  <si>
    <t>ΚΑΤΑΣΚ ΣΥΝΔΕΣ ΣΕ ΣΩΛΗΝΩΣΗ ΜΕΤΑΓΩΓΗΣ 800'</t>
  </si>
  <si>
    <t>2510.7   ΚΑΤΑΣΚ ΦΡΕΑΤΙΩΝ ΜΙΚΡΟΣΩΛΗΝΩΣΗΣ ΤΥΠΟΥ ΦΙΙ</t>
  </si>
  <si>
    <t>1.4501.15</t>
  </si>
  <si>
    <t>ΚΑΤΑΣ ΣΥΝΔΕΣ ΣΕ ΣΩΛΗΝΩΣΗ ΜΕΤΑΓΩΓΗΣ 1000'</t>
  </si>
  <si>
    <t>2510.8   ΚΑΤΑΣ ΦΡΕΑΤΙΩΝ ΜΙΚΡΟΣΩΛΗΝΩΣΗΣ ΤΥΠΟΥ ΦΙΙΙ</t>
  </si>
  <si>
    <t>1.4501.16</t>
  </si>
  <si>
    <t>ΚΑΤΑΣ ΣΥΝΔΕΣ ΣΕ ΣΩΛΗΝΩΣΗ ΜΕΤΑΓΩΓΗΣ 1200'</t>
  </si>
  <si>
    <t>2510.9   ΚΑΤΑΣΚ ΦΡΕΑΤΙΩΝ ΜΙΚΡΟΣΩΛΗΝΩΣΗΣ ΤΥΠΟΥ ΦΙV</t>
  </si>
  <si>
    <t>1.4501.17</t>
  </si>
  <si>
    <t>ΚΑΤΑΣ ΣΥΝΔΕΣ ΣΕ ΣΩΛΗΝΩΣΗ ΜΕΤΑΓΩΓΗΣ 1400'</t>
  </si>
  <si>
    <t>2510.10   ΚΑΤΑΣΚ ΦΡΕΑΤΙΩΝ ΜΙΚΡΟΣΩΛΗΝΩΣΗΣ ΤΥΠΟΥ ΦV</t>
  </si>
  <si>
    <t>1.4501.18</t>
  </si>
  <si>
    <t>ΚΑΤΑΣ ΣΥΝΔΕΣ ΣΕ ΣΩΛΗΝΩΣΗ ΜΕΤΑΓΩΓΗΣ 1600'</t>
  </si>
  <si>
    <t>2510.11   ΚΑΤΑΣΚ ΦΡΕΑΤΙΩΝ ΜΙΚΡΟΣΩΛΗΝΩΣΗΣ ΤΥΠΟΥ ΦVI</t>
  </si>
  <si>
    <t>1.4501.19</t>
  </si>
  <si>
    <t>ΚΑΤΑΣ ΣΥΝΔΕΣ ΣΕ ΣΩΛΗΝΩΣΗ ΜΕΤΑΓΩΓΗΣ 1800'</t>
  </si>
  <si>
    <t>2510.12   ΚΑΤΑΣ ΦΡΕΑΤΙΩΝ ΜΙΚΡΟΣΩΛΗΝΩΣΗΣ ΤΥΠΟΥ ΦΙΙΑ</t>
  </si>
  <si>
    <t>1.4501.2</t>
  </si>
  <si>
    <t>ΚΑΤΑΣΚ ΣΥΝΔΕΣΜ ΣΕ ΣΩΛΗΝΩΣΗ ΜΕΤΑΓΩΓΗΣ 20'</t>
  </si>
  <si>
    <t>2510.13   ΚΑΤΑΣ ΦΡΕΑΤ ΜΙΚΡΟΣΩΛ ΤΥΠ ΦΙΙΑ/ΜΟΝΟ ΚΑΠ</t>
  </si>
  <si>
    <t>2510.14   ΚΑΤ ΦΡΕΑΤ Μ/Σ ΤΥΠ ΦΙΙΑ/ΜΟΝΟ ΚΑΠ ΧΩΡ ΣΤΟΜ</t>
  </si>
  <si>
    <t>1.4501.20</t>
  </si>
  <si>
    <t>ΚΑΤΑΣ ΣΥΝΔΕΣ ΣΕ ΣΩΛΗΝΩΣΗ ΜΕΤΑΓΩΓΗΣ 2000'</t>
  </si>
  <si>
    <t>2515   ΚΑΤΑΣΚ ΦΡΕΑΤ ΔΙΕΛΕΥΣΗΣ &amp; ΠΡΟΜΗΘ ΚΑΛΥΜΜΑΤ</t>
  </si>
  <si>
    <t>1.4501.21</t>
  </si>
  <si>
    <t>ΚΑΤΑΣ ΣΥΝΔΕΣ ΣΕ ΣΩΛΗΝΩΣΗ ΜΕΤΑΓΩΓΗΣ 2400'</t>
  </si>
  <si>
    <t>2558   ΣΤΕΓ ΦΡΕΑΤΙΩΝ-ΣΤΕΓΑΝΟΠΟΙΗΤΙΚΟ ΕΠΙΧΡΙΣΜΑ</t>
  </si>
  <si>
    <t>1.4501.3</t>
  </si>
  <si>
    <t>ΚΑΤΑΣΚ ΣΥΝΔΕΣΜ ΣΕ ΣΩΛΗΝΩΣΗ ΜΕΤΑΓΩΓΗΣ 30'</t>
  </si>
  <si>
    <t>2559   ΣΤΕΓ ΦΡΕΑΤ-ΔΙΑΝΟΙΞΗ 2x2&amp;ΣΦΡΑΓΙΣΗ ΛΟΥΚΙΟΥ</t>
  </si>
  <si>
    <t>1.4501.4</t>
  </si>
  <si>
    <t>ΚΑΤΑΣΚ ΣΥΝΔΕΣΜ ΣΕ ΣΩΛΗΝΩΣΗ ΜΕΤΑΓΩΓΗΣ 40'</t>
  </si>
  <si>
    <t>2560.1   ΣΤΕΓ ΦΡΕΑΤΙΩΝ-ΣΦΡΑΓΙΣΗ ΜΗΝΙΣΚΩΝ</t>
  </si>
  <si>
    <t>1.4501.5</t>
  </si>
  <si>
    <t>ΚΑΤΑΣΚ ΣΥΝΔΕΣΜ ΣΕ ΣΩΛΗΝΩΣΗ ΜΕΤΑΓΩΓΗΣ 50'</t>
  </si>
  <si>
    <t>2560.2   ΣΤΕΓ ΦΡΕΑΤΙΩΝ-ΣΦΡΑΓΙΣΗ ΟΠΗΣ</t>
  </si>
  <si>
    <t>1.4501.6</t>
  </si>
  <si>
    <t>ΚΑΤΑΣΚ ΣΥΝΔΕΣΜ ΣΕ ΣΩΛΗΝΩΣΗ ΜΕΤΑΓΩΓΗΣ 70'</t>
  </si>
  <si>
    <t>2561   ΣΤΕΓ ΦΡΕΑΤΙΩΝ-ΤΑΧΥΠΗΚΤΟ ΜΗ ΣΥΡΡΙΚΝΟΥΜ</t>
  </si>
  <si>
    <t>1.4501.7</t>
  </si>
  <si>
    <t>ΚΑΤΑΣΚ ΣΥΝΔΕΣ ΣΕ ΣΩΛΗΝΩΣΗ ΜΕΤΑΓΩΓΗΣ 100'</t>
  </si>
  <si>
    <t>2562   ΠΡΟΕΡΓ ΣΤΕΓΑΝ ΝΕΟΥ ΦΡΕΑΤ ΦΙΙΙ, ΦIV ή ΦV</t>
  </si>
  <si>
    <t>1.4501.8</t>
  </si>
  <si>
    <t>ΚΑΤΑΣΚ ΣΥΝΔΕΣ ΣΕ ΣΩΛΗΝΩΣΗ ΜΕΤΑΓΩΓΗΣ 150'</t>
  </si>
  <si>
    <t>2563   ΣΤΕΓΑΝ - ΕΠΙΧΡΙΣΗ ΠΥΘΜΕΝΑ ΦΡΕΑΤΙΩΝ</t>
  </si>
  <si>
    <t>1.4501.9</t>
  </si>
  <si>
    <t>ΚΑΤΑΣΚ ΣΥΝΔΕΣ ΣΕ ΣΩΛΗΝΩΣΗ ΜΕΤΑΓΩΓΗΣ 200'</t>
  </si>
  <si>
    <t>2564   ΣΤΕΓ ΦΡΕΑΤΙΩΝ-ΤΑΧΥΠΗΚΤΟ ΔΙΟΓΚΟΥΜΕΝΟ</t>
  </si>
  <si>
    <t>1.4601.1</t>
  </si>
  <si>
    <t>ΚΑΤΑΣ ΣΥΝΔ Φ0,4/6/8 ΟΠΛ ΚΑΛ ΜΗΧ ΣΥΝΔ 10'</t>
  </si>
  <si>
    <t>2565   ΣΦΡ ΚΕΝ ΜΕ ΤΑΠΕΣ ΔΙΟΓ ΠΟΛΥΣ Φ40 ΈΩΣ Φ125</t>
  </si>
  <si>
    <t>1.4601.10</t>
  </si>
  <si>
    <t>ΚΑΤ ΣΥΝΔ Φ0,4/9/8 ΟΠΛ ΚΑΛ ΜΗΧ ΣΥΝΔ 300''</t>
  </si>
  <si>
    <t>2570.1   ΣΤΕΓ ΝΕΟ ΦΡΕΑΤ ΚΑΝΝΑΒ &amp; ΓΥΨΟΣ ΜΟΝΟ ΚΑΛΥΜ</t>
  </si>
  <si>
    <t>1.4601.11</t>
  </si>
  <si>
    <t>ΚΑΤ ΣΥΝΔ Φ0,4/9/8 ΟΠΛ ΚΑΛ ΜΗΧ ΣΥΝΔ 400''</t>
  </si>
  <si>
    <t>2570.2   ΣΤΕΓ ΝΕΟ ΦΡΕΑΤ ΚΑΝΝΑΒ &amp; ΓΥΨΟΣ ΔΙΠΛ ΚΑΛΥΜ</t>
  </si>
  <si>
    <t>1.4601.12</t>
  </si>
  <si>
    <t>ΚΑΤ ΣΥΝΔ Φ0,4/9/8 ΟΠΛ ΚΑΛ ΜΗΧ ΣΥΝΔ 500''</t>
  </si>
  <si>
    <t>2570.3   ΣΤΕΓ ΝΕΟ ΦΡΕΑΤ ΚΑΝΝΑΒ &amp; ΣΙΛΙΚ ΜΟΝΟ ΚΑΛΥΜ</t>
  </si>
  <si>
    <t>1.4601.13</t>
  </si>
  <si>
    <t>ΚΑΤ ΣΥΝΔ Φ0,4/9/8 ΟΠΛ ΚΑΛ ΜΗΧ ΣΥΝΔ 600''</t>
  </si>
  <si>
    <t>2570.4   ΣΤΕΓ ΝΕΟ ΦΡΕΑΤ ΚΑΝΝΑΒ &amp; ΣΙΛΙΚ ΔΙΠΛ ΚΑΛΥΜ</t>
  </si>
  <si>
    <t>1.4601.14</t>
  </si>
  <si>
    <t>ΚΑΤ ΣΥΝΔ Φ0,4/9/8 ΟΠΛ ΚΑΛ ΜΗΧ ΣΥΝΔ 800''</t>
  </si>
  <si>
    <t>2571.1   ΣΤΕΓ ΥΦ ΦΡΕΑΤ ΚΑΝΝΑΒΙΣ &amp; ΓΥΨΟ ΜΟΝΟ ΚΑΛΥΜ</t>
  </si>
  <si>
    <t>1.4601.15</t>
  </si>
  <si>
    <t>2571.2   ΣΤΕΓ ΥΦ ΦΡΕΑΤ ΚΑΝΝΑΒΙΣ &amp; ΓΥΨΟ ΔΙΠΛ ΚΑΛΥΜ</t>
  </si>
  <si>
    <t>ΚΑΤ ΣΥΝΔ Φ0,4/9/8 ΟΠΛ ΚΑΛ ΜΗΧ ΣΥΝΔ 1000'</t>
  </si>
  <si>
    <t>1.4601.16</t>
  </si>
  <si>
    <t>2571.3   ΣΤΕΓ ΥΦ ΦΡΕΑΤ ΚΑΝΝΑΒΙ&amp;ΣΙΛΙΚΟΝ ΜΟΝΟ ΚΑΛΥΜ</t>
  </si>
  <si>
    <t>ΚΑΤ ΣΥΝΔ Φ0,4/9/8 ΟΠΛ ΚΑΛ ΜΗΧ ΣΥΝΔ 1200'</t>
  </si>
  <si>
    <t>2571.4   ΣΤΕΓ ΥΦ ΦΡΕΑΤ ΚΑΝΝΑΒΙ&amp;ΣΙΛΙΚΟΝ ΔΙΠΛ ΚΑΛΥΜ</t>
  </si>
  <si>
    <t>1.4601.17</t>
  </si>
  <si>
    <t>ΚΑΤ ΣΥΝΔ Φ0,4/9/8 ΟΠΛ ΚΑΛ ΜΗΧ ΣΥΝΔ 1400'</t>
  </si>
  <si>
    <t>2581   ΔΙΑΝΟΙΞΗ ΟΠΗΣ ΣΕ ΦΡΕΑΤΙΟ</t>
  </si>
  <si>
    <t>1.4601.18</t>
  </si>
  <si>
    <t>ΚΑΤ ΣΥΝΔ Φ0,4/9/8 ΟΠΛ ΚΑΛ ΜΗΧ ΣΥΝΔ 1600'</t>
  </si>
  <si>
    <t>2585   ΑΠΟΣΥΝΘ ΦΡΕΑΤ ή ΣΩΛΗΝ &amp;ΣΚΥΡΟΔ ΟΠΟΙΑΔ ΚΑΤ</t>
  </si>
  <si>
    <t>1.4601.19</t>
  </si>
  <si>
    <t>ΚΑΤ ΣΥΝΔ Φ0,4/9/8 ΟΠΛ ΚΑΛ ΜΗΧ ΣΥΝΔ 1800'</t>
  </si>
  <si>
    <t>2587   ΑΠΟΞΗΛΩΣΗ ΧΥΤΟΣΙΔΗΡΗΣ ΒΑΣΕΩΣ ΚΑΛΥΜΑΤΟΣ</t>
  </si>
  <si>
    <t>1.4601.2</t>
  </si>
  <si>
    <t>ΚΑΤΑΣ ΣΥΝΔ Φ0,4/6/8 ΟΠΛ ΚΑΛ ΜΗΧ ΣΥΝΔ 20'</t>
  </si>
  <si>
    <t>2593   ΑΝΑΒΙΒΑΣΜΟΣ ή ΚΑΤΑΒΙΒΑΣΜ ΛΑΙΜΟΥ ΦΡΕΑΤΙΩΝ</t>
  </si>
  <si>
    <t>1.4601.20</t>
  </si>
  <si>
    <t>ΚΑΤ ΣΥΝΔ Φ0,4/9/8 ΟΠΛ ΚΑΛ ΜΗΧ ΣΥΝΔ 2000'</t>
  </si>
  <si>
    <t>2595   ΑΠΟΣΥΝΘΕΣΗ ΒΑΣΗΣ ΚΑΤΑΝΕΜΗΤΗ KV</t>
  </si>
  <si>
    <t>1.4601.21</t>
  </si>
  <si>
    <t>ΚΑΤ ΣΥΝΔ Φ0,4/9/8 ΟΠΛ ΚΑΛ ΜΗΧ ΣΥΝΔ 2400'</t>
  </si>
  <si>
    <t>2597.1   ΤΟΠΟΘ ΒΑΣΗΣ &amp; ΚΑΛΥΜ ΦΡΕΑΤΙΟΥ ΣΣ</t>
  </si>
  <si>
    <t>1.4601.3</t>
  </si>
  <si>
    <t>ΚΑΤΑΣ ΣΥΝΔ Φ0,4/6/8 ΟΠΛ ΚΑΛ ΜΗΧ ΣΥΝΔ 30'</t>
  </si>
  <si>
    <t>2597.2   ΤΟΠΟΘ ΒΑΣΗΣ &amp; ΚΑΛΥΜ ΦΡΕΑΤΙΟΥ Μ/Σ (ΜΟΝΟ)</t>
  </si>
  <si>
    <t>1.4601.4</t>
  </si>
  <si>
    <t>ΚΑΤΑΣ ΣΥΝΔ Φ0,4/6/8 ΟΠΛ ΚΑΛ ΜΗΧ ΣΥΝΔ 40'</t>
  </si>
  <si>
    <t>2597.3   ΤΟΠΟΘ.ΒΑΣΗΣ &amp; ΚΑΛΥΜ ΦΡΕΑΤΙΟΥ Μ/Σ (ΔΙΠΛΟ)</t>
  </si>
  <si>
    <t>1.4601.5</t>
  </si>
  <si>
    <t>ΚΑΤΑΣ ΣΥΝΔ Φ0,4/6/8 ΟΠΛ ΚΑΛ ΜΗΧ ΣΥΝΔ 50'</t>
  </si>
  <si>
    <t>2598   ΤΟΠΟΘΕΤΗΣΗ ΤΡΑΒΕΡΣΑΣ ΦΡΕΑΤΙΟΥ</t>
  </si>
  <si>
    <t>1.4601.6</t>
  </si>
  <si>
    <t>ΚΑΤΑΣ ΣΥΝΔ Φ0,4/6/8 ΟΠΛ ΚΑΛ ΜΗΧ ΣΥΝΔ 70'</t>
  </si>
  <si>
    <t>2600   ΤΟΠΟΘΕΤΗΣΗ ΓΑΝΤΖΟΥ ΣΤΕΡΕΩΣΗΣ ΕΝΤΟΣ ΦΡΕΑΤ</t>
  </si>
  <si>
    <t>1.4601.7</t>
  </si>
  <si>
    <t>ΚΑΤ ΣΥΝΔ Φ0,4/6/8 ΟΠΛ ΚΑΛ ΜΗΧ ΣΥΝΔ 100''</t>
  </si>
  <si>
    <t>1.4601.8</t>
  </si>
  <si>
    <t>ΚΑΤ ΣΥΝΔ Φ0,4/9/8 ΟΠΛ ΚΑΛ ΜΗΧ ΣΥΝΔ 150''</t>
  </si>
  <si>
    <t>2602   ΑΠΟΚΑΤΑΣΤ ΤΟΙΧΟΠΟΙΪΑΣ ΚΑΤΟΠΙΝ ΑΠΟΞΗΛ KV</t>
  </si>
  <si>
    <t>2616   ΔΙΑΜΟΡΦΩΣΗ ΡΙΧΤΙΟΥ ΒΑΘΜΙΔΑΣ</t>
  </si>
  <si>
    <t>1.4601.9</t>
  </si>
  <si>
    <t>ΚΑΤ ΣΥΝΔ Φ0,4/9/8 ΟΠΛ ΚΑΛ ΜΗΧ ΣΥΝΔ 200''</t>
  </si>
  <si>
    <t>2621   ΚΑΘΑΙΡ/ΑΝΑΚΑΤ ΣΚΑΛΟΠΑΤΙΩΝ ΑΠΟ ΣΚΥΡΟΔΕΜΑ</t>
  </si>
  <si>
    <t>1.4610.1</t>
  </si>
  <si>
    <t>ΑΝΟΙΓΜΑ ΚΑΛΩΔ/ΣΥΝΔ ΣΕ ΣΩΛΗΝΩΣΗ 10-100''</t>
  </si>
  <si>
    <t>2631   ΑΡΣΗ &amp; ΕΠΑΝΑΤΟΠΟΘ ΟΛΟΣΩΜ ΒΑΘΜΙΔΩΝ/ΚΡΑΣΠ</t>
  </si>
  <si>
    <t>1.4610.2</t>
  </si>
  <si>
    <t>ΑΝΟΙΓΜΑ ΚΑΛΩΔ/ΣΥΝΔ ΣΕ ΣΩΛΗΝΩΣΗ 150-350''</t>
  </si>
  <si>
    <t>2632   ΑΡΣΗ &amp; ΕΠΑΝΑΤ/ΣΗ ή ΞΕΤΡΥΠΗΜΑ ΦΡ ΥΔΡΟΜΕΤΡ</t>
  </si>
  <si>
    <t>1.4610.3</t>
  </si>
  <si>
    <t>ΑΝΟΙΓΜΑ ΚΑΛ/ΣΥΝΔ ΣΕ ΣΩΛΗΝΩΣΗ 400-1000''</t>
  </si>
  <si>
    <r>
      <rPr>
        <rFont val="Calibri"/>
        <b val="0"/>
        <color theme="1"/>
        <sz val="10.0"/>
      </rPr>
      <t>ΣΥΝΟΛΟ ΕΡΓΑΣΙΩΝ:</t>
    </r>
    <r>
      <rPr>
        <rFont val="Calibri"/>
        <b/>
        <color theme="1"/>
        <sz val="10.0"/>
      </rPr>
      <t xml:space="preserve">    (ΤΙΜΗ ΟΤΕ)</t>
    </r>
  </si>
  <si>
    <t>1.4610.4</t>
  </si>
  <si>
    <t>ΑΝΟΙΓΜΑ ΚΑΛ/ΣΥΝΔ ΣΕ ΣΩΛΗΝΩΣΗ 1200-2400''</t>
  </si>
  <si>
    <t>1.5001.1</t>
  </si>
  <si>
    <t>ΚΑΤΑΣΚ/ΤΟΠ ΤΕΡΜ ΚΑΛΩΔ ΣΕ ΓΕΝ ΚΑΤΑΝ 50''</t>
  </si>
  <si>
    <t>2655.1   ΚΑΘΑΡΙΣΜΟΣ ΥΦΙΣΤ ΦΡΕΑΤΙΟΥ ΣΤΕΓ ΣΩΛΗΝΩΣΗΣ</t>
  </si>
  <si>
    <t>ΠΟΣΟΣΤΟ ΕΚΠΤΩΣΗΣ</t>
  </si>
  <si>
    <t>1.5001.2</t>
  </si>
  <si>
    <t>ΚΑΤΑΣΚ/ΤΟΠ ΤΕΡΜ ΚΑΛΩΔ ΣΕ ΓΕΝ ΚΑΤΑΝ 100''</t>
  </si>
  <si>
    <t>2655.2   ΚΑΘΑΡΙΣΜΟΣ ΥΦΙΣΤ ΦΡΕΑΤΙΟΥ ΜΙΚΡΟΣΩΛΗΝΩΣΗΣ</t>
  </si>
  <si>
    <r>
      <rPr>
        <rFont val="Calibri"/>
        <b val="0"/>
        <color theme="1"/>
        <sz val="10.0"/>
      </rPr>
      <t>ΣΥΝΟΛΟ ΕΡΓΑΣΙΩΝ:</t>
    </r>
    <r>
      <rPr>
        <rFont val="Calibri"/>
        <b/>
        <color theme="1"/>
        <sz val="10.0"/>
      </rPr>
      <t xml:space="preserve">   (ΤΙΜΗ ΕΡΓΑΤΗΚΑΤ)</t>
    </r>
  </si>
  <si>
    <t>2657.1   ΑΝΤΛ ΑΣΤ ΛΥΜΑΤΩΝ &amp;ΚΑΘΑΡ ΦΡΕΑΤ 8:00-24.00</t>
  </si>
  <si>
    <t>1.5001.3</t>
  </si>
  <si>
    <t>ΚΑΤΑΣΚ/ΤΟΠ ΤΕΡΜ ΚΑΛΩΔ ΣΕ ΓΕΝ ΚΑΤΑΝ 150''</t>
  </si>
  <si>
    <t>2657.2   ΑΝΤΛ ΑΣΤ ΛΥΜΑΤΩΝ &amp;ΚΑΘΑΡ ΦΡΕΑΤ 00:00-8.00</t>
  </si>
  <si>
    <t>1.5001.4</t>
  </si>
  <si>
    <t>ΚΑΤΑΣΚ/ΤΟΠ ΤΕΡΜ ΚΑΛΩΔ ΣΕ ΓΕΝ ΚΑΤΑΝ 200''</t>
  </si>
  <si>
    <t>2693   ΑΝΤΙΚ ΕΞΩΤ ΠΕΡΙΒΛΗΜΑ ΥΠΑΙΘΡ ΚΑΜΠΙΝΑΣ ΟΔΠ</t>
  </si>
  <si>
    <t>1.5001.5</t>
  </si>
  <si>
    <t>ΚΑΤΑΣΚ/ΤΟΠ ΤΕΡΜ ΚΑΛΩΔ ΣΕ ΓΕΝ ΚΑΤΑΝ 250''</t>
  </si>
  <si>
    <t>3001   ΤΟΠΟΘΕΤΗΣΗ-ΑΜΜΟΣ ΕΓΚΙΒΩΤΙΣΜΟΥ ΚΑΛΩΔΙΩΝ</t>
  </si>
  <si>
    <t>1.5001.6</t>
  </si>
  <si>
    <t>ΚΑΤΑΣΚ/ΤΟΠ ΤΕΡΜ ΚΑΛΩΔ ΣΕ ΓΕΝ ΚΑΤΑΝ 300''</t>
  </si>
  <si>
    <t>3005   ΤΟΠΟΘ-ΤΟΥΒΛΑ ΕΠΙΣΗΜ ΚΑΛΩΔ ΜΠΑΤΙΚΗ ΣΕΙΡΑ</t>
  </si>
  <si>
    <t>1.5001.7</t>
  </si>
  <si>
    <t>ΚΑΤΑΣΚ/ΤΟΠ ΤΕΡΜ ΚΑΛΩΔ ΣΕ ΓΕΝ ΚΑΤΑΝ 400''</t>
  </si>
  <si>
    <t>3042   ΤΟΠΟΘ ΠΛΕΓΜΑΤΟΣ ΠΟΛΥΑΙΘΥΛ ΣΕ ΚΑΛ ΤΑΦΡΟ</t>
  </si>
  <si>
    <t>1.5002.1</t>
  </si>
  <si>
    <t>3051   ΤΟΠΟΘΕΤΗΣΗ ΣΥΡΜΑΤΟΣΧΟΙΝΟΥ  ΓΕΙΩΣΕΩΣ</t>
  </si>
  <si>
    <t>ΑΠΟΤΟΠ ΚΑΛΩΔ ΤΕΡΜ ΑΠΟ ΓΕΝ ΚΑΤΑΝ 50-350''</t>
  </si>
  <si>
    <t>1.5002.2</t>
  </si>
  <si>
    <t>ΑΠΟΤΟΠ ΚΑΛ ΤΕΡΜ ΑΠΟ ΓΕΝ ΚΑΤΑΝ 400-600''</t>
  </si>
  <si>
    <t>1.5002.3</t>
  </si>
  <si>
    <t>3106.2   ΤΟΠ ΟΜΑΔ ΠΛ ΣΩΛ &amp; ΑΝΤΛΗΣΗ ΥΔΑΤΩΝ</t>
  </si>
  <si>
    <t>ΑΠΟΤΟΠ ΚΑΛ ΤΕΡΜ ΑΠΟ ΓΕΝ ΚΑΤΑΝ 700-800''</t>
  </si>
  <si>
    <t>3110.1   ΤΟΠ ΜΕΜΟΝΟΜ ΠΛ ΣΩΛ ή ΠΟΛΥΣΩΛ ΣΕ ΤΑΦΡΟΥΣ</t>
  </si>
  <si>
    <t>1.5002.4</t>
  </si>
  <si>
    <t>ΑΠΟΤ ΚΑΛ ΤΕΡΜ ΑΠΟ ΓΕΝ ΚΑΤΑΝ 1000-1200''</t>
  </si>
  <si>
    <t>3110.2   ΤΟΠ ΟΜΑΔΟΠ ΠΛ ΣΩΛ ή ΠΟΛΥΣΩΛ ΣΕ ΤΑΦΡΟΥΣ</t>
  </si>
  <si>
    <t>1.5002.5</t>
  </si>
  <si>
    <t>ΑΠΟΤ ΚΑΛ ΤΕΡΜ ΑΠΟ ΓΕΝ ΚΑΤΑΝ 1400-1600''</t>
  </si>
  <si>
    <t>3111.1   ΠΡΟΜ/ΤΟΠ PE ΣΩΛ ΣΕ ΤΑΦΡΟΥΣ Φ90MM, 6AT</t>
  </si>
  <si>
    <t>1.5002.6</t>
  </si>
  <si>
    <t>ΑΠΟΤ ΚΑΛ ΤΕΡΜ ΑΠΟ ΓΕΝ ΚΑΤΑΝ 1800-2000''</t>
  </si>
  <si>
    <t>3111.2   ΠΡΟΜ/ΤΟΠ PE ΣΩΛ ΣΕ ΤΑΦΡΟΥΣ Φ110MM, 10AT</t>
  </si>
  <si>
    <t>3131.1   ΤΟΠ PVC ή ΡΕ ΣΩΛ ΣΕ ΤΑΦΡΟ ΧΩΡΙΣ ΠΛΑΙΣΙΑ</t>
  </si>
  <si>
    <t>1.5002.7</t>
  </si>
  <si>
    <t>ΑΠΟΤΟΠ ΚΑΛΩΔ ΤΕΡΜ ΑΠΟ ΓΕΝ ΚΑΤΑΝ 2400''</t>
  </si>
  <si>
    <t>3131.2   ΤΟΠ PVC ή ΡΕ ΣΩΛ ΣΕ ΤΑΦΡΟ ΜΕ ΠΛΑΙΣΙΑ</t>
  </si>
  <si>
    <t>1.5011.1</t>
  </si>
  <si>
    <t>ΤΟΠΟΘΕΤΗΣΗ ΟΡΙΟΛΩΡΙΔΑΣ ΣΕ ΓΕΝ ΚΑΤΑΝ 100'</t>
  </si>
  <si>
    <t>3161   ΠΡΟΜΗΘΕΙΑ &amp; ΤΟΠΟΘ ΠΛΑΣΤ ΣΩΛ ΑΠΟΧΕΥΤΕΥΣΗΣ</t>
  </si>
  <si>
    <t>1.5011.2</t>
  </si>
  <si>
    <t>ΤΟΠΟΘΕΤΗΣΗ ΟΡΙΟΛΩΡΙΔΑΣ ΣΕ ΓΕΝ ΚΑΤΑΝ 256'</t>
  </si>
  <si>
    <t>3170.1   ΠΡΟΜ&amp;ΤΟΠΟΘ ΣΙΔΗΡΟΣ ΓΑΛΒ ΤΟΠ ΟΔ ΔΙΑΜ 3/4'</t>
  </si>
  <si>
    <t>1.5011.3</t>
  </si>
  <si>
    <t>ΤΟΠΟΘΕΤΗΣΗ ΟΡΙΟΛΩΡΙΔΑΣ ΣΕ ΓΕΝ ΚΑΤΑΝ 512'</t>
  </si>
  <si>
    <t>3170.2   ΠΡΟΜ&amp;ΤΟΠ ΣΙΔΗΡΟΣ ΓΑΛΒ ΤΟΠ ΟΔ.ΔΙΑΜ 1 1/2'</t>
  </si>
  <si>
    <t>1.5031.3</t>
  </si>
  <si>
    <t>ΤΕΡΜ ΣΤΕΓΝ ΚΑΛΩΔ PE  ΣΕ ΓΕΝ ΚΑΤΑΝ 800''</t>
  </si>
  <si>
    <t>3171.1   ΠΡΟΜ &amp; ΤΟΠΟΘ.ΣΙΔΗΡΟΣΩΛ ΓΑΛΒΑΝΙΖΕ ΔΙΑΜ 2'</t>
  </si>
  <si>
    <t>1.5031.4</t>
  </si>
  <si>
    <t>ΤΕΡΜ ΣΤΕΓ ΚΑΛΩΔ PE ΓΕΝ ΚΑΤ 1000 ή 1200''</t>
  </si>
  <si>
    <t>3171.2   ΠΡΟΜ &amp; ΤΟΠΟΘ ΣΙΔΗΡΟΣΩΛ ΓΑΛΒΑΝΙΖΕ ΔΙΑΜ 3'</t>
  </si>
  <si>
    <t>3171.3   ΠΡΟΜ &amp; ΤΟΠΟΘ ΣΙΔΗΡΟΣΩΛ ΓΑΛΒΑΝΙΖΕ ΔΙΑΜ 4'</t>
  </si>
  <si>
    <t>1.5031.5</t>
  </si>
  <si>
    <t>ΤΕΡΜ ΣΤΕΓΝΟΥ ΚΑΛΩΔ PE ΣΕ ΓΕΝ ΚΑΤΑΝ 1400'</t>
  </si>
  <si>
    <t>3172.1   ΠΡΟΜ &amp;ΤΟΠ ΣΙΔΗΡΟΣ ΓΑΛΒ ΔΥΣΜ ΣΥΝΘ ΔΙΑΜ 2'</t>
  </si>
  <si>
    <t>1.5031.6</t>
  </si>
  <si>
    <t>ΤΕΡΜ ΣΤΕΓΝΟΥ ΚΑΛΩΔ PE ΣΕ ΓΕΝ ΚΑΤΑΝ 1600'</t>
  </si>
  <si>
    <t>3172.2   ΠΡΟΜ &amp;ΤΟΠ ΣΙΔΗΡΟΣ ΓΑΛΒ ΔΥΣΜ ΣΥΝΘ ΔΙΑΜ 3'</t>
  </si>
  <si>
    <t>1.5031.7</t>
  </si>
  <si>
    <t>ΤΕΡΜ ΣΤΕΓΝΟΥ ΚΑΛΩΔ PE ΣΕ ΓΕΝ ΚΑΤΑΝ 1800'</t>
  </si>
  <si>
    <t>3172.3   ΠΡΟΜ &amp;ΤΟΠ ΣΙΔΗΡΟΣ ΓΑΛΒ ΔΥΣΜ ΣΥΝΘ ΔΙΑΜ 4'</t>
  </si>
  <si>
    <t>1.5031.8</t>
  </si>
  <si>
    <t>ΤΕΡΜ ΣΤΕΓΝΟΥ ΚΑΛΩΔ PE ΣΕ ΓΕΝ ΚΑΤΑΝ 2000'</t>
  </si>
  <si>
    <t>3173.1   ΠΡΟΜ&amp;ΤΟΠ ΣΙΔΗΡΟΣ ΓΑΛΒ ΒΑΡΕΩΣ ΤΥΠ ΔΙΑΜ 2'</t>
  </si>
  <si>
    <t>1.5031.9</t>
  </si>
  <si>
    <t>ΤΕΡΜ ΣΤΕΓΝΟΥ ΚΑΛΩΔ PE ΣΕ ΓΕΝ ΚΑΤΑΝ 2400'</t>
  </si>
  <si>
    <t>3173.2   ΠΡΟΜ&amp;ΤΟΠ ΣΙΔΗΡΟΣ ΓΑΛΒ ΒΑΡΕΩΣ ΤΥΠ ΔΙΑΜ 3'</t>
  </si>
  <si>
    <t>1.5051.1</t>
  </si>
  <si>
    <t>ΤΕΡΜ SHIEDEL ΚΑΛ ΣΕ ΓΕΝ ΚΑΤ ΦΥΣ ΣΥΝ 24''</t>
  </si>
  <si>
    <t>3173.3   ΠΡΟΜ&amp;ΤΟΠ ΣΙΔΗΡΟΣ ΓΑΛΒ ΒΑΡΕΩΣ ΤΥΠ ΔΙΑΜ 4'</t>
  </si>
  <si>
    <t>3174   ΠΡΟΜ&amp;ΤΟΠ ΣΙΔΗΡΟΣΩ ΓΑΛΒ 4''-4m &amp; 3/4''-3m</t>
  </si>
  <si>
    <t>1.5051.2</t>
  </si>
  <si>
    <t>ΤΕΡΜ SHIEDEL ΚΑΛ ΣΕ ΓΕΝ ΚΑΤ ΦΥΣ ΣΥΝ 32''</t>
  </si>
  <si>
    <t>3191.1   ΚΑΤΑΣ&amp;ΤΟΠ ΣΙΔΗΡΟΚ ΔΙΑΤ 150Χ100&amp;150Χ150MM</t>
  </si>
  <si>
    <t>1.5051.3</t>
  </si>
  <si>
    <t>ΤΕΡΜ SHIEDEL ΚΑΛ ΣΕ ΓΕΝ ΚΑΤ ΦΥΣ ΣΥΝ 48''</t>
  </si>
  <si>
    <t>3191.3   ΚΑΤΑΣ&amp;ΤΟΠ ΣΙΔΗΡΟΚ ΔΙΑΤ 200Χ200&amp;250Χ250MM</t>
  </si>
  <si>
    <t>3201   ΤΟΠΟΘ  ΣΙΔΗΡΟΣΩΛΗΝΑ ΑΝΥΨΩΣΕΩΣ ΚΑΛΩΔΙΟΥ</t>
  </si>
  <si>
    <t>1.5051.4</t>
  </si>
  <si>
    <t>ΤΕΡΜ SHIEDEL ΚΑΛ ΣΕ ΓΕΝ ΚΑΤ ΦΥΣ ΣΥΝ 96''</t>
  </si>
  <si>
    <t>3231.1   ΤΟΠΟΘΕΤΗΣΗ ΞΥΛΙΝΟΥ ΣΤΥΛΟΥ ΥΨΟΥΣ 7,00Μ</t>
  </si>
  <si>
    <t>3231.2   ΤΟΠΟΘΕΤΗΣΗ ΞΥΛΙΝΟΥ ΣΤΥΛΟΥ ΥΨΟΥΣ 8,00Μ</t>
  </si>
  <si>
    <t>1.5101</t>
  </si>
  <si>
    <t>ΤΟΠΟΘΕΤΗΣΗ ΤΕΣΤΙΝΑΣ ΣΕ KV</t>
  </si>
  <si>
    <t>3232.1   ΑΦΑΙΡ.ΞΥΛΙΝΟΥ ΣΤΥΛΟΥ ΜΕ ΕΚΣΚΑΦΗ ΥΨ 7,00Μ</t>
  </si>
  <si>
    <t>1.5104</t>
  </si>
  <si>
    <t>ΠΡΟΚΑΤ ΟΡΙΟΛΩΡΙΔΑ ΜΕΤΑΦ &amp; ΤΟΠ ΣΕ ΚΑΜΠ Γ2</t>
  </si>
  <si>
    <t>3232.2   ΑΦΑΙΡ.ΞΥΛΙΝΟΥ ΣΤΥΛΟΥ ΜΕ ΕΚΣΚΑΦΗ ΥΨ 8,00Μ</t>
  </si>
  <si>
    <t>1.5109.1</t>
  </si>
  <si>
    <t>ΜΕΤΑΦ &amp; ΤΟΠ ΠΡΟΚΑΤ ΟΡΙΟΛΩΡΙΔΑ ΔΔ ΚΑΜΠ Γ3</t>
  </si>
  <si>
    <t>3233.1   ΑΦΑΙΡ ΞΥΛΙΝΟΥ ΣΤΥΛΟΥ ΜΕ ΚΟΠΗ ΥΨΟΥΣ 7,00Μ</t>
  </si>
  <si>
    <t>1.5109.2</t>
  </si>
  <si>
    <t>ΜΕΤΑΦ &amp; ΤΟΠ ΠΡΟΚΑΤ ΟΡΙΟΛΩΡΙΔΑ ΚΔ ΚΑΜΠ Γ3</t>
  </si>
  <si>
    <t>3233.2   ΑΦΑΙΡ ΞΥΛΙΝΟΥ ΣΤΥΛΟΥ ΜΕ ΚΟΠΗ ΥΨΟΥΣ 8,00Μ</t>
  </si>
  <si>
    <t>1.5109.3</t>
  </si>
  <si>
    <t>ΜΕΤΑΦ &amp; ΤΟΠ ΠΡΟΚΑΤ ΟΡΙΟΛΩΡΙΔΑ ΚΑΜΠ Γ2</t>
  </si>
  <si>
    <t>3234   ΔΙΕΥΘΕΤΗΣΗ ΣΤΥΛΟΥ</t>
  </si>
  <si>
    <t>3236   ΜΕΤΑΤΟΠΙΣΗ ΣΤΥΛΟΥ ΑΝΕΞΑΡΤΗΤΩΣ ΥΨΟΥΣ</t>
  </si>
  <si>
    <t>1.5111</t>
  </si>
  <si>
    <t>ΜΕΤΑΤΡΟΠΗ KV ΠΑΛΑΙΟΥ ΤΥΠΟΥ ΣΕ ΝΕΟΥ 1200'</t>
  </si>
  <si>
    <t>1.5152</t>
  </si>
  <si>
    <t>ΕΞΩΤ.&amp;ΕΣΩΤ.ΚΑΘΑΡΙΣΜΟΣ KV ΠΑΛΑΙΟΥ ΤΥΠΟΥ</t>
  </si>
  <si>
    <t>3241.1   ΤΟΠΟΘΕΤΗΣΗ ΡΑΒΔΟΥ ΕΠΙΤΟΝΟΥ Α ΜΕΓΕΘΟΥΣ</t>
  </si>
  <si>
    <t>1.5153</t>
  </si>
  <si>
    <t>ΣΤΕΓΑΝΟΠΟΙΗΣΗ ΠΟΡΤΑΣ KV ΟΙΟΥΔΗΠΟΤΕ ΤΥΠΟΥ</t>
  </si>
  <si>
    <t>3241.2   ΤΟΠΟΘΕΤΗΣΗ ΡΑΒΔΟΥ ΕΠΙΤΟΝΟΥ Β ΜΕΓΕΘΟΥΣ</t>
  </si>
  <si>
    <t>1.5154</t>
  </si>
  <si>
    <t>ΕΠΙΣΚ ΣΤΕΓΑΝΟΠ ΣΤΗ ΒΑΣΗ KV ΚΑΘΕ ΤΥΠΟΥ</t>
  </si>
  <si>
    <t>3243   ΠΡΟΣΔΕΣΗ ΕΠΙΤΟΝΟΥ ΣΕ ΣΤΕΛΕΧΟΣ Η ΘΗΛΕΙΑ</t>
  </si>
  <si>
    <t>1.5156</t>
  </si>
  <si>
    <t>3245   ΚΑΤΑΣΚΕΥΗ ΕΠΙΤΟΝΟΥ ΣΕ ΣΤΥΛΟ</t>
  </si>
  <si>
    <t>ΕΠΙΣΚ ΚΛΕΙΘΡΩΝ ΑΣΦΑΛΕΙΑΣ ΠΟΡΤΑΣ KV</t>
  </si>
  <si>
    <t>3246   ΑΦΑΙΡΕΣΗ ΕΠΙΤΟΝΟΥ ΑΠΟ ΣΤΥΛΟ</t>
  </si>
  <si>
    <t>1.5202</t>
  </si>
  <si>
    <t>ΤΟΠΟΘ ΑΚΡ ΔΙΑΚΛ ή ΚΟΥΤ ΜΕΤΑΦ ΜΕ ΚΑΛ 10''</t>
  </si>
  <si>
    <t>3247   ΤΟΠΟΘΕΤΗΣΗ ΑΝΤΗΡΙΔΑΣ ΟΠΟΙΟΥΔΗΠΟΤΕ ΥΨΟΥΣ</t>
  </si>
  <si>
    <t>1.5242.1</t>
  </si>
  <si>
    <t>ΑΛΛΑΓΗ ΑΡΙΘΜΗΣΗΣ ΣΕ ΕΙΣΑΓΩΓΗ 10-100''</t>
  </si>
  <si>
    <t>5000   ΗΛΕΚΤΡ ΥΠΑΙΘΡ ΚΑΜΠ ΟΔΠ ΠΛΗΝ ΥΠΕΥΘ ΔΗΛΩΣΗ</t>
  </si>
  <si>
    <t>1.5242.2</t>
  </si>
  <si>
    <t>ΑΛΛΑΓΗ ΑΡΙΘΜΗΣΗΣ ΣΕ ΕΙΣΑΓΩΓΗ &gt; 100''</t>
  </si>
  <si>
    <t>5010   ΕΛΕΓΧ ΓΕΙΩΣΗΣ &amp; ΕΚΔ ΥΠΕΥΘ ΔΗΛΩΣΗ ΗΛΕΚΤΡ</t>
  </si>
  <si>
    <t>1.5301</t>
  </si>
  <si>
    <t>8000.1   ΑΠΟΤ ΕΓΚΑΤ ΤΗΛ ΔΙΚΤ&amp;ΣΥΝΤ ΣΧΕΔ ΜΕ ΤΟΠ ΥΠ</t>
  </si>
  <si>
    <t>ΚΑΤ ΓΕΙΩΣΗΣ ΚΑΛ ΤΕΡΜ ΣΕ ΓΕΝ ΚΑΤΑΝΕΜΗΤΗ</t>
  </si>
  <si>
    <t>8000.2   ΑΠΟΤ ΕΓΚ ΤΗΛ ΔΙΚΤ&amp;ΣΥΝΤ ΣΧΕΔ ΧΩΡΙΣ ΤΟΠ ΥΠ</t>
  </si>
  <si>
    <t>1.5322</t>
  </si>
  <si>
    <t>ΚΑΤΑΣΚ ΓΕΙΩΤΗ ΑΝΤΙΚΕΡΑΥΝΙΚΗΣ ΠΡΟΣΤ-3ΠΛΑΚ</t>
  </si>
  <si>
    <t>8010.1   ΑΠΟΤ ΕΓΚ ΔΙΚΤ&amp;ΣΥΝΤ ΣΧΕΔ ΥΦ ΥΠ ΜΕ ΤΟΠ ΥΠ</t>
  </si>
  <si>
    <t>1.5351.1</t>
  </si>
  <si>
    <t>ΣΤΕΓΑΝΟΠ ΣΤΕΓΝ ΚΑΛΩΔ ΜΕ ΠΛ ΜΟΝ 10-200''</t>
  </si>
  <si>
    <t>8010.2   ΑΠ ΕΓΚ ΤΗΛ ΔΙΚΤ&amp;ΣΥΝΤ ΣΧ ΥΦ ΥΠ ΧΩΡ ΤΟΠ ΥΠ</t>
  </si>
  <si>
    <t>1.5351.2</t>
  </si>
  <si>
    <t>8020.1   ΑΠΟΤ ΕΓΚ ΔΙΚΤ ΑΝΑΛ&amp; ΣΧΕΔ ΥΦ ΥΠ ΜΕ ΤΟΠ ΥΠ</t>
  </si>
  <si>
    <t>ΣΤΕΓΑΝΟΠ ΣΤΕΓΝ ΚΑΛΩΔ ΜΕ ΠΛ ΜΟΝ 250-500''</t>
  </si>
  <si>
    <t>8020.2   ΑΠΟΤ ΕΓΚ ΔΙΚΤ ΑΝΑΛ&amp;ΣΧΕΔ ΥΦ ΥΠ ΧΩΡ ΤΟΠ ΥΠ</t>
  </si>
  <si>
    <t>1.5351.3</t>
  </si>
  <si>
    <t>ΣΤΕΓΑΝ ΣΤΕΓΝ ΚΑΛΩΔ ΜΕ ΠΛ ΜΟΝ 600-1400''</t>
  </si>
  <si>
    <t>6000   ΕΡΓΑΣΙΑ ΑΡΧΑΙΟΛΟΓΟΥ ΕΝΟΣ ΗΜΕΡΟΛ/ΚΟΥ ΜΗΝΑ</t>
  </si>
  <si>
    <t>1.5351.4</t>
  </si>
  <si>
    <t>ΣΤΕΓΑΝ ΣΤΕΓΝ ΚΑΛΩΔ ΜΕ ΠΛ ΜΟΝ 1600-2400''</t>
  </si>
  <si>
    <t>6000.1   ΕΠΙΔΟΜΑ ΑΔΕΙΑΣ ΑΡΧΑΙΟΛΟΓΟΥ</t>
  </si>
  <si>
    <t>1.5356.2</t>
  </si>
  <si>
    <t>ΤΟΠΟΘΕΤΗΣΗ ΘΗΛΙΑΣ ΕΠΙ ΣΤΥΛΟΥ</t>
  </si>
  <si>
    <t>6000.2   ΕΠΙΔΟΜΑ ΕΟΡΤΩΝ ΠΑΣΧΑ ΑΡΧΑΙΟΛΟΓΟΥ</t>
  </si>
  <si>
    <t>1.5358.2</t>
  </si>
  <si>
    <t>ΤΟΠ ΧΑΛΥΒ ή ΕΝΔ ΚΟΥΤ ΔΙΑΣ ΕΝ ΚΑΛ ΕΠΙ ΣΤΥ</t>
  </si>
  <si>
    <t>6000.3   ΕΠΙΔΟΜΑ ΕΟΡΤΩΝ ΧΡΙΣΤΟΥΓΕΝΝΩΝ ΑΡΧΑΙΟΛΟΓΟΥ</t>
  </si>
  <si>
    <t>1.5360.1</t>
  </si>
  <si>
    <t>ΤΟΠ ΣΤΕΦΑΝΗΣ ΑΥΤΟΣΤ ΚΑΛ ΣΕ ΣΤΥΛΟ-ΝΕΑ ΟΠΗ</t>
  </si>
  <si>
    <t>6040   ΕΠΙΣΚ ΕΠΙΦ ΦΡΕΑ ΧΡΗΣΗ ΓΕΩΚ ΔΡΟΜ ΜΕΓ ΚΥΚΛ</t>
  </si>
  <si>
    <t>1.5365.1</t>
  </si>
  <si>
    <t>ΤΟΠ ΑΓΚΙΣΤΡΩΝ ΑΝΑΡΤ ΑΥΤΟΣΤ ΚΑΛ-ΤΡΥΠ ΣΤΥΛ</t>
  </si>
  <si>
    <t>4001.1   ΚΑΤΑΣΚ ΣΥΝΔ Φ0,4/6/8/9 ΧΡΗΣ ΜΗΧ ΣΥΝΔ 10'</t>
  </si>
  <si>
    <t>1.5370.2</t>
  </si>
  <si>
    <t>ΤΕΡΜΑΤΙΣΜΟΣ ΑΥΤΟΣΤ ΚΑΛ 5'' ΣΕ ΧΚ,ΚΔ,Εισ</t>
  </si>
  <si>
    <t>4001.2   ΚΑΤΑΣΚ ΣΥΝΔ Φ0,4/6/8/9 ΧΡΗΣ ΜΗΧ ΣΥΝΔ 20'</t>
  </si>
  <si>
    <t>1.6011.1</t>
  </si>
  <si>
    <t>ΑΦ ΚΑΛΩΔ ΣΕ ΣΩΛ ΣΣ,ΜΣ,ΜΤ ΜΕ ΜΗΧ Ι ΚΑΤΗΓ</t>
  </si>
  <si>
    <t>4001.3   ΚΑΤΑΣΚ ΣΥΝΔ Φ0,4/6/8/9 ΧΡΗΣ ΜΗΧ ΣΥΝΔ 30'</t>
  </si>
  <si>
    <t>1.6011.2</t>
  </si>
  <si>
    <t>4001.4   ΚΑΤΑΣΚ ΣΥΝΔ Φ0,4/6/8/9 ΧΡΗΣ ΜΗΧ ΣΥΝΔ 40'</t>
  </si>
  <si>
    <t>ΑΦ ΚΑΛΩΔ ΣΕ ΣΩΛ ΣΣ,ΜΣ,ΜΤ ΜΕ ΜΗΧ ΙΙ ΚΑΤΗΓ</t>
  </si>
  <si>
    <t>4001.5   ΚΑΤΑΣΚ ΣΥΝΔ Φ0,4/6/8/9 ΧΡΗΣ ΜΗΧ ΣΥΝΔ 50'</t>
  </si>
  <si>
    <t>1.6011.3</t>
  </si>
  <si>
    <t>ΑΦ ΚΑΛΩΔ ΣΕ ΣΩΛ ΣΣ,ΜΣ,ΜΤ ΜΕ ΜΗΧ ΙΙΙ ΚΑΤΗ</t>
  </si>
  <si>
    <t>4001.6   ΚΑΤΑΣΚ ΣΥΝΔ Φ0,4/6/8/9 ΧΡΗΣ ΜΗΧ ΣΥΝΔ 70'</t>
  </si>
  <si>
    <t>1.6012.1</t>
  </si>
  <si>
    <t>ΑΦΑΙΡ ΚΑΛΩΔΙΩΝ ΣΕ ΣΣ,ΜΣ,ΜΤ Ι ΚΑΤΗΓΟΡΙΑΣ</t>
  </si>
  <si>
    <t>4001.7   ΚΑΤΑΣ ΣΥΝΔ Φ0,4/6/8/9 ΧΡΗΣ ΜΗΧ ΣΥΝΔ 100'</t>
  </si>
  <si>
    <t>1.6012.2</t>
  </si>
  <si>
    <t>ΑΦΑΙΡ ΚΑΛΩΔΙΩΝ ΣΕ ΣΣ,ΜΣ,ΜΤ ΙΙ ΚΑΤΗΓΟΡΙΑΣ</t>
  </si>
  <si>
    <t>4001.8   ΚΑΤΑΣ ΣΥΝΔ Φ0,4/6/8/9 ΧΡΗΣ ΜΗΧ ΣΥΝΔ 150'</t>
  </si>
  <si>
    <t>1.6012.3</t>
  </si>
  <si>
    <t>ΑΦΑΙΡ ΚΑΛΩΔΙΩΝ ΣΕ ΣΣ,ΜΣ,ΜΤ ΙΙΙΚΑΤΗΓΟΡΙΑΣ</t>
  </si>
  <si>
    <t>4001.9   ΚΑΤΑΣ ΣΥΝΔ Φ0,4/6/8/9 ΧΡΗΣ ΜΗΧ ΣΥΝΔ 200'</t>
  </si>
  <si>
    <t>1.6015.1</t>
  </si>
  <si>
    <t>ΑΦΑΙΡ ΚΑΛΩΔΙΩΝ ΑΠΟ ΚΤΙΡΙΑ Ι ΚΑΤΗΓΟΡΙΑΣ</t>
  </si>
  <si>
    <t>4001.10   ΚΑΤΑΣ ΣΥΝΔ Φ0,4/6/8/9 ΧΡΗΣ ΜΗΧ ΣΥΝΔ 300'</t>
  </si>
  <si>
    <t>1.6015.2</t>
  </si>
  <si>
    <t>ΑΦΑΙΡ ΚΑΛΩΔΙΩΝ ΑΠΟ ΚΤΙΡΙΑ ΙΙ ΚΑΤΗΓΟΡΙΑΣ</t>
  </si>
  <si>
    <t>4001.11   ΚΑΤΑΣ ΣΥΝΔ Φ0,4/6/8/9 ΧΡΗΣ ΜΗΧ ΣΥΝΔ 400'</t>
  </si>
  <si>
    <t>1.6015.3</t>
  </si>
  <si>
    <t>ΑΦΑΙΡ ΚΑΛΩΔΙΩΝ ΑΠΟ ΚΤΙΡΙΑ ΙΙΙ ΚΑΤΗΓΟΡΙΑΣ</t>
  </si>
  <si>
    <t>4001.12   ΚΑΤΑΣ ΣΥΝΔ Φ0,4/6/8/9 ΧΡΗΣ ΜΗΧ ΣΥΝΔ 500'</t>
  </si>
  <si>
    <t>1.6029.1</t>
  </si>
  <si>
    <t>ΤΕΡΜΑΤΙΣΜΟΣ ΚΑΛΩΔ ΣΕ ΕΙΣΑΓΩΓΗ 10-100''</t>
  </si>
  <si>
    <t>4001.13   ΚΑΤΑΣ ΣΥΝΔ Φ0,4/6/8/9 ΧΡΗΣ ΜΗΧ ΣΥΝΔ 600'</t>
  </si>
  <si>
    <t>1.6029.2</t>
  </si>
  <si>
    <t>ΤΕΡΜΑΤΙΣΜΟΣ ΚΑΛΩΔ ΣΕ ΕΙΣΑΓΩΓΗ 150-300''</t>
  </si>
  <si>
    <t>4001.14   ΚΑΤΑΣ ΣΥΝΔ Φ0,4/6/8/9 ΧΡΗΣ ΜΗΧ ΣΥΝΔ 800'</t>
  </si>
  <si>
    <t>1.6029.3</t>
  </si>
  <si>
    <t>ΤΕΡΜΑΤΙΣΜΟΣ ΚΑΛΩΔΙΟΥ ΣΕ ΕΙΣΑΓΩΓΗ &gt;=400''</t>
  </si>
  <si>
    <t>4001.15   ΚΑΤΑΣ ΣΥΝΔ Φ0,4/6/8/9 ΧΡΗΣ ΜΗΧ ΣΥΝ 1000'</t>
  </si>
  <si>
    <t>1.6031</t>
  </si>
  <si>
    <t>ΚΑΤΑΣΚ ΓΕΙΩΣΗΣ ΑΝΤΙΚΕΡ/ΚΗΣ ΠΡΟΣΤ-2ΡΑΒΔΟΙ</t>
  </si>
  <si>
    <t>4001.16   ΚΑΤΑΣ ΣΥΝΔ Φ0,4/6/8/9 ΧΡΗΣ ΜΗΧ ΣΥΝ 1200'</t>
  </si>
  <si>
    <t>4001.17   ΚΑΤΑΣ ΣΥΝΔ Φ0,4/6/8/9 ΧΡΗΣ ΜΗΧ ΣΥΝ 1400'</t>
  </si>
  <si>
    <t>1.6034</t>
  </si>
  <si>
    <t>ΤΟΠΟΘΕΤΗΣΗ ΘΗΛΙΑΣ ΣΕ KV ή Εισ</t>
  </si>
  <si>
    <t>4001.18   ΚΑΤΑΣ ΣΥΝΔ Φ0,4/6/8/9 ΧΡΗΣ ΜΗΧ ΣΥΝ 1600'</t>
  </si>
  <si>
    <t>1.6035</t>
  </si>
  <si>
    <t>ΑΠΟΤΟΠΟΘΕΤΗΣΗ ΘΗΛΙΑΣ ΑΠΟ KV ή Εισ</t>
  </si>
  <si>
    <t>4001.19   ΚΑΤΑΣ ΣΥΝΔ Φ0,4/6/8/9 ΧΡΗΣ ΜΗΧ ΣΥΝ 1800'</t>
  </si>
  <si>
    <t>1.6036</t>
  </si>
  <si>
    <t>ΑΝΤΙΚΑΤΑΣΤΑΣΗ ΟΔΗΓΩΝ ΚΑΤΑΝΕΜΗΤΩΝ  ΚΑΛΩΔ</t>
  </si>
  <si>
    <t>1.6037.1</t>
  </si>
  <si>
    <t>ΕΛΕΓ &amp; ΕΞΩΤ ΑΝΑΚΑΤ ΣΥΝΔ ΜΕ ΤΟΠ ΘΕΡΜ/ΝΟΥ</t>
  </si>
  <si>
    <t>4001.20   ΚΑΤΑΣ ΣΥΝΔ Φ0,4/6/8/9 ΧΡΗΣ ΜΗΧ ΣΥΝ 2000'</t>
  </si>
  <si>
    <t>1.6037.2</t>
  </si>
  <si>
    <t>ΕΛΕΓ &amp; ΕΞΩΤ ΑΝΑΚΑΤ ΣΥΝΔ ΜΕ ΠΛΑΣ ΜΟΝ ΤΑΙΝ</t>
  </si>
  <si>
    <t>4001.21   ΚΑΤΑΣ ΣΥΝΔ Φ0,4/6/8/9 ΧΡΗΣ ΜΗΧ ΣΥΝ 2400'</t>
  </si>
  <si>
    <t>1.6066</t>
  </si>
  <si>
    <t>ΤΟΠΟΘ ΥΠΑΙΘΡΙΟΥ Τ/Φ ΗΜΙΘΑΛΑΜΟΥ ΣΕ ΠΥΛΩΝΑ</t>
  </si>
  <si>
    <t>4101.1   ΚΑΤ ΣΥΝΔ Φ0,4/6/8/9 ΟΠΛ ΚΑΛ ΜΗΧ ΣΥΝΔ 10'</t>
  </si>
  <si>
    <t>4101.2   ΚΑΤ ΣΥΝΔ Φ0,4/6/8/9 ΟΠΛ ΚΑΛ ΜΗΧ ΣΥΝΔ 20'</t>
  </si>
  <si>
    <t>1.6067</t>
  </si>
  <si>
    <t>ΤΟΠΟΘ ΥΠΑΙΘΡΙΟΥ Τ/Φ  ΗΜΙΘΑΛΑΜΟΥ ΕΠΙ ΤΟΙΧ</t>
  </si>
  <si>
    <t>4101.3   ΚΑΤ ΣΥΝΔ Φ0,4/6/8/9 ΟΠΛ ΚΑΛ ΜΗΧ ΣΥΝΔ 30'</t>
  </si>
  <si>
    <t>1.6068</t>
  </si>
  <si>
    <t>ΤΟΠΟΘ.ΥΠ.ΤΦ ΗΜΙΘ.ΣΕ ΥΦ.ΠΥΛΩΝΑ Η ΣΤΥΛΙΣΚΟ</t>
  </si>
  <si>
    <t>4101.4   ΚΑΤ ΣΥΝΔ Φ0,4/6/8/9 ΟΠΛ ΚΑΛ ΜΗΧ ΣΥΝΔ 40'</t>
  </si>
  <si>
    <t>1.6069</t>
  </si>
  <si>
    <t>ΑΠΟΤΟΠΟΘΕΤΗΣΗ (ΑΦΑΙΡΕΣΗ) Τ/Φ ΗΜΙΘΑΛΑΜΟΥ</t>
  </si>
  <si>
    <t>4101.5   ΚΑΤ ΣΥΝΔ Φ0,4/6/8/9 ΟΠΛ ΚΑΛ ΜΗΧ ΣΥΝΔ 50'</t>
  </si>
  <si>
    <t>1.6072.1</t>
  </si>
  <si>
    <t>ΠΡΟΜ/ΤΟΠ ΜΕΤ ΕΣΧ ΟΔ ΚΑΛΩΔ &lt; 100Χ50Χ1mm</t>
  </si>
  <si>
    <t>1.6072.2</t>
  </si>
  <si>
    <t>ΠΡΟΜ/ΤΟΠ ΜΕΤ ΕΣΧ ΟΔ ΚΑΛΩΔ &lt; 200Χ50Χ1mm</t>
  </si>
  <si>
    <t>4101.6   ΚΑΤ ΣΥΝΔ Φ0,4/6/8/9 ΟΠΛ ΚΑΛ ΜΗΧ ΣΥΝΔ 70'</t>
  </si>
  <si>
    <t>1.6072.3</t>
  </si>
  <si>
    <t>ΠΡΟΜ/ΤΟΠ ΜΕΤ ΕΣΧ ΟΔ ΚΑΛΩΔ &lt; 300Χ60Χ1mm</t>
  </si>
  <si>
    <t>4101.7   ΚΑΤ ΣΥΝΔ Φ0,4/6/8/9 ΟΠΛ ΚΑΛ ΜΗΧ ΣΥΝΔ 100</t>
  </si>
  <si>
    <t>1.6072.4</t>
  </si>
  <si>
    <t>ΠΡΟΜ/ΤΟΠ ΜΕΤ ΕΣΧ ΟΔ ΚΑΛΩΔ &lt; 400Χ60Χ1mm</t>
  </si>
  <si>
    <t>1.6072.5</t>
  </si>
  <si>
    <t>ΠΡΟΜ/ΤΟΠ ΜΕΤ ΕΣΧ ΟΔ ΚΑΛΩΔ &lt; 500Χ60Χ1,1mm</t>
  </si>
  <si>
    <t>4101.8   ΚΑΤ ΣΥΝΔ Φ0,4/6/8/9 ΟΠΛ ΚΑΛ ΜΗΧ ΣΥΝΔ 150</t>
  </si>
  <si>
    <t>1.6080</t>
  </si>
  <si>
    <t>ΔΙΑΝ.ΟΠΗΣ ΣΕ ΠΛΑΚΑ ΣΚΥΡ.ΕΠΙΦ.ΕΩΣ 0,10m2</t>
  </si>
  <si>
    <t>4101.9   ΚΑΤ ΣΥΝΔ Φ0,4/6/8/9 ΟΠΛ ΚΑΛ ΜΗΧ ΣΥΝΔ 200</t>
  </si>
  <si>
    <t>1.6081</t>
  </si>
  <si>
    <t>4101.10   ΚΑΤ ΣΥΝΔ Φ0,4/6/8/9 ΟΠΛ ΚΑΛ ΜΗΧ ΣΥΝΔ 300</t>
  </si>
  <si>
    <t>ΔΙΑΝ.ΟΠΗΣ ΣΕ ΤΟΙΧ.ΟΠΤΟΠΛ.ΕΠΙΦ.ΕΩΣ 0,10m2</t>
  </si>
  <si>
    <t>4101.11   ΚΑΤ ΣΥΝΔ Φ0,4/6/8/9 ΟΠΛ ΚΑΛ ΜΗΧ ΣΥΝΔ 400</t>
  </si>
  <si>
    <t>1.6101</t>
  </si>
  <si>
    <t>ΑΦΑΙΡ ΡΕΓΚΛΕΤ 100'' ΤΕΡΜ ΚΔ ΣΕ ΥΦΙΣΤ ONU</t>
  </si>
  <si>
    <t>4101.12   ΚΑΤ ΣΥΝΔ Φ0,4/6/8/9 ΟΠΛ ΚΑΛ ΜΗΧ ΣΥΝΔ 500</t>
  </si>
  <si>
    <t>1.7070.1</t>
  </si>
  <si>
    <t>ΚΑΤ ΣΥΝΔ ΒΡΑΔΥΚ ΚΟΙ ΜΗ ΜΟΝΟΚ ΔΙΑΧ 96 ΙΝΩ</t>
  </si>
  <si>
    <t>4101.13   ΚΑΤ ΣΥΝΔ Φ0,4/6/8/9 ΟΠΛ ΚΑΛ ΜΗΧ ΣΥΝΔ 600</t>
  </si>
  <si>
    <t>1.7070.2</t>
  </si>
  <si>
    <t>ΚΑΤ ΣΥΝΔ ΒΡΑΔΥΚ ΚΟΙ ΜΗ ΜΟΝΟΚ ΔΙΑΧ 72 ΙΝΩ</t>
  </si>
  <si>
    <t>4101.14   ΚΑΤ ΣΥΝΔ Φ0,4/6/8/9 ΟΠΛ ΚΑΛ ΜΗΧ ΣΥΝΔ 800</t>
  </si>
  <si>
    <t>1.7070.3</t>
  </si>
  <si>
    <t>ΚΑΤ ΣΥΝΔ ΒΡΑΔΥΚ ΚΟΙ ΜΗ ΜΟΝΟΚ ΔΙΑΧ 60 ΙΝΩ</t>
  </si>
  <si>
    <t>4101.15   ΚΑΤ ΣΥΝΔ Φ0,4/6/8/9 ΟΠΛ ΚΑΛ ΜΗΧ ΣΥΝΔ1000</t>
  </si>
  <si>
    <t>4101.16   ΚΑΤ ΣΥΝΔ Φ0,4/6/8/9 ΟΠΛ ΚΑΛ ΜΗΧ ΣΥΝΔ1200</t>
  </si>
  <si>
    <t>1.7070.4</t>
  </si>
  <si>
    <t>ΚΑΤ ΣΥΝΔ ΒΡΑΔΥΚ ΚΟΙ ΜΗ ΜΟΝΟΚ ΔΙΑΧ 36 ΙΝΩ</t>
  </si>
  <si>
    <t>4101.17   ΚΑΤ ΣΥΝΔ Φ0,4/6/8/9 ΟΠΛ ΚΑΛ ΜΗΧ ΣΥΝΔ1400</t>
  </si>
  <si>
    <t>1.7070.5</t>
  </si>
  <si>
    <t>ΚΑΤ ΣΥΝΔ ΒΡΑΔΥΚ ΚΟΙ ΜΗ ΜΟΝΟΚ ΔΙΑΧ 24 ΙΝΩ</t>
  </si>
  <si>
    <t>4101.18   ΚΑΤ ΣΥΝΔ Φ0,4/6/8/9 ΟΠΛ ΚΑΛ ΜΗΧ ΣΥΝΔ1600</t>
  </si>
  <si>
    <t>4101.19   ΚΑΤ ΣΥΝΔ Φ0,4/6/8/9 ΟΠΛ ΚΑΛ ΜΗΧ ΣΥΝΔ1800</t>
  </si>
  <si>
    <t>1.7080.1</t>
  </si>
  <si>
    <t>ΚΑΤ ΣΥΝΔ ΒΡΑΔΥΚ ΚΟΙ ΜΟΝΟΚΥΚΛ ΔΙΑΧ 96 ΙΝΩ</t>
  </si>
  <si>
    <t>4101.20   ΚΑΤ ΣΥΝΔ Φ0,4/6/8/9 ΟΠΛ ΚΑΛ ΜΗΧ ΣΥΝΔ2000</t>
  </si>
  <si>
    <t>1.7080.2</t>
  </si>
  <si>
    <t>4101.21   ΚΑΤ ΣΥΝΔ Φ0,4/6/8/9 ΟΠΛ ΚΑΛ ΜΗΧ ΣΥΝΔ2400</t>
  </si>
  <si>
    <t>ΚΑΤ ΣΥΝΔ ΒΡΑΔΥΚ ΚΟΙ ΜΟΝΟΚΥΚΛ ΔΙΑΧ 72 ΙΝΩ</t>
  </si>
  <si>
    <t>Ν4611.1   ΑΝΟΙΓΜΑ ΚΑΛΩΔΙΟΥ/ΣΥΝΔ ΣΕ ΤΑΦΡΟ 10-100''</t>
  </si>
  <si>
    <t>1.7080.3</t>
  </si>
  <si>
    <t>ΚΑΤ ΣΥΝΔ ΒΡΑΔΥΚ ΚΟΙ ΜΟΝΟΚΥΚΛ ΔΙΑΧ 60 ΙΝΩ</t>
  </si>
  <si>
    <t>Ν4611.2   ΑΝΟΙΓΜΑ ΚΑΛΩΔΙΟΥ/ΣΥΝΔ ΣΕ ΤΑΦΡΟ 150-350''</t>
  </si>
  <si>
    <t>1.7080.4</t>
  </si>
  <si>
    <t>Ν4611.3   ΑΝΟΙΓΜΑ ΚΑΛΩΔ/ΣΥΝΔ ΣΕ ΤΑΦΡΟ 400-1000''</t>
  </si>
  <si>
    <t>ΚΑΤ ΣΥΝΔ ΒΡΑΔΥΚ ΚΟΙ ΜΟΝΟΚΥΚΛ ΔΙΑΧ 36 ΙΝΩ</t>
  </si>
  <si>
    <t>Ν4611.4   ΑΝΟΙΓΜΑ ΚΑΛΩΔ/ΣΥΝΔ ΣΕ ΤΑΦΡΟ 1200-2400''</t>
  </si>
  <si>
    <t>1.7080.5</t>
  </si>
  <si>
    <t>ΚΑΤ ΣΥΝΔ ΒΡΑΔΥΚ ΚΟΙ ΜΟΝΟΚΥΚΛ ΔΙΑΧ 24 ΙΝΩ</t>
  </si>
  <si>
    <t>4699   ΔΟΚΙΜΕΣ ΜΕΤΑΓΩΓΗΣ ΣΥΝΔΕΣΜΟΥ</t>
  </si>
  <si>
    <t>1.7157.1</t>
  </si>
  <si>
    <t>ΚΑΤΑΣΚ ΣΥΝΔ ΜΙΚΤΟΝΟΜΗΣΗΣ PATCH CORD 2-5m</t>
  </si>
  <si>
    <t>4801   ΜΕΤΑΤΡΟΠΗ ΚΚ ή KV ΣΕ ΚΑΜΠΙΝΑ NGA Γ3</t>
  </si>
  <si>
    <t>1.7157.2</t>
  </si>
  <si>
    <t>ΚΑΤΑΣΚ ΣΥΝΔ ΜΙΚΤΟΝΟΜΗΣΗ PATCH CORD 6-12m</t>
  </si>
  <si>
    <t>4811   ΜΕΤΑΤΡΟΠΗ ΚΚ ή KV ΣΕ ΚΑΜΠΙΝΑ NGA Γ2</t>
  </si>
  <si>
    <t>4821   ΑΝΤΙΚΑΤΑΣΤΑΣΗ KV ΜΕ ΚΑΛΩΔΙΟΥΡΑ ΕΩΣ 30m</t>
  </si>
  <si>
    <t>1.7157.3</t>
  </si>
  <si>
    <t>ΚΑΤΑΣΚ ΣΥΝΔ ΜΙΚΤΟΝΟΜΗΣΗΣ PATCH CORD &gt;13m</t>
  </si>
  <si>
    <t>5011.1   ΤΟΠΟΘΕΤΗΣΗ ΟΡΙΟΛΩΡΙΔΑΣ ΣΕ ΓΕΝ ΚΑΤΑΝ 100'</t>
  </si>
  <si>
    <t>5014   ΠΡΟΜΗΘΕΙΑ &amp; ΤΟΠΟΘΕΤΗΣΗ ΣΙΔΕΡ ΛΑΜΑΣ ΣΕ ΓΚ</t>
  </si>
  <si>
    <t>5021   ΚΑΤΑΣΚΕΥΗ ΜΙΚΤΟΝΟΜΗΣΗΣ (ΖΕΥΞΗΣ) ΣΕ ΓΚ</t>
  </si>
  <si>
    <t>1.7165</t>
  </si>
  <si>
    <t>ΠΡΟΜ &amp; ΤΟΠ ΟΜΑΔ ΠΛ ΣΩΛΗΝΙΣΚΩΝ ΣΕ ΥΦ ΣΩΛ</t>
  </si>
  <si>
    <t>5022   ΑΠΟΞΗΛΩΣΗ ΠΑΛΑΙΑΣ ΜΙΚΤΟΝΟΜΗΣΗΣ ΑΠΟ ΓΚ</t>
  </si>
  <si>
    <t>1000.1.I.α.</t>
  </si>
  <si>
    <t>Μ/Τ ΠΛ ΣΤ 8Χ30cm ΕΠΑΝ ΑΣΦΑΛΤΟΣήΣΚΥΡ FTTH</t>
  </si>
  <si>
    <t>5031.1   ΤΕΡΜ ΣΤΕΓ ΚΑΛΩΔ PE ΣΕ ΓΕΝ ΚΑΤΑΝ 50-300''</t>
  </si>
  <si>
    <t>1000.1.I.β.</t>
  </si>
  <si>
    <t>Μ/Τ ΠΛ ΣΤ 8Χ45,10Χ45-50cm ΕΠΑΝ ΑΣΦΑ FTTH</t>
  </si>
  <si>
    <t>5031.2   ΤΕΡΜ ΣΤΕΓ ΚΑΛ PE  ΓΕΝ ΚΑΤ 400,500,600''</t>
  </si>
  <si>
    <t>5051.3   ΤΕΡΜ SHIEDEL ΚΑΛ ΣΕ ΓΕΝ ΚΑΤ ΦΥΣ ΣΥΝ 48''</t>
  </si>
  <si>
    <t>1000.1.I.γ.</t>
  </si>
  <si>
    <t>Μ/Τ ΠΛ ΣΤ 16Χ45-16Χ50cm ΕΠΑΝ ΑΣΦΑΛΤ FTTH</t>
  </si>
  <si>
    <t>5102   ΤΟΠΟΘΕΤΗΣΗ / ΑΦΑΙΡΕΣΗ ΤΕΣΤΙΝΑΣ ΑΠΟ KV</t>
  </si>
  <si>
    <t>1000.1.I.δ.</t>
  </si>
  <si>
    <t>Μ/Τ ΠΛ ΣΤ 16Χ55-16Χ60cm ΕΠΑΝ ΑΣΦΑΛΤ FTTH</t>
  </si>
  <si>
    <t>5105   ΠΡΟΚΑΤ ΟΡΙΟΛ ΔΔ 100&amp;50'' ΜΕΤΑΦ &amp; ΤΟΠ Γ3</t>
  </si>
  <si>
    <t>1000.1.I.ε.</t>
  </si>
  <si>
    <t>Μ/Τ ΧΩΡ ΠΛ ΣΤ 5Χ30-6Χ30cm ΕΠΑΝ ΑΣΦΑ FTTH</t>
  </si>
  <si>
    <t>5107   ΠΡΟΚΑΤ ΟΡΙΟΛ ΚΔ 300' ΜΕΤΑΦ &amp; ΤΟΠ ΚΑΜΠ Γ3</t>
  </si>
  <si>
    <t>1000.1.I.στ.</t>
  </si>
  <si>
    <t>Μ/Τ ΧΩΡ ΠΛ ΣΤ 5Χ45-6Χ45cm ΕΠΑΝ ΑΣΦΑ FTTH</t>
  </si>
  <si>
    <t>5112   ΤΟΠΟΘ/ΣΤΕΡ ΒΑΣΗΣ ΣΕ KV ΝΕΟΥ ΤΥΠΟΥ 1200''</t>
  </si>
  <si>
    <t>1000.2.I.α.</t>
  </si>
  <si>
    <t>Μ/Τ ΠΛ ΣΤ 8Χ30cm ΧΩΡΙΣ ΕΠΑΝ ή ΑΔΙΑΜ FTTH</t>
  </si>
  <si>
    <t>5121.1   ΤΕΡΜ ΠΛΗΡΟΥΣ ΚΑΛΩΔ ΣΕ KV 1200/10 ή 20''</t>
  </si>
  <si>
    <t>1000.2.I.β.</t>
  </si>
  <si>
    <t>Μ/Τ ΠΛ ΣΤ 8Χ45,10Χ45-50cm ΧΩΡ ΕΠΑΝ FTTH</t>
  </si>
  <si>
    <t>5121.2   ΤΕΡΜ ΠΛΗΡΟΥΣ ΚΑΛΩΔ ΣΕ KV 1200/30 ή 40''</t>
  </si>
  <si>
    <t>1000.2.I.γ.</t>
  </si>
  <si>
    <t>Μ/Τ ΠΛ ΣΤ 16Χ45-16Χ50cm ΧΩΡΙΣ ΕΠΑΝ FTTH</t>
  </si>
  <si>
    <t>5121.3   ΤΕΡΜ ΠΛΗΡΟΥΣ ΚΑΛΩΔ ΣΕ KV 1200/50 ή 70''</t>
  </si>
  <si>
    <t>5121.4   ΤΕΡΜΑΤ ΠΛΗΡΟΥΣ ΚΑΛΩΔ ΣΕ KV 1200/ 100''</t>
  </si>
  <si>
    <t>1000.2.I.δ.</t>
  </si>
  <si>
    <t>Μ/Τ ΠΛ ΣΤ 16Χ55-16Χ60cm ΧΩΡΙΣ ΕΠΑΝ FTTH</t>
  </si>
  <si>
    <t>5121.5   ΤΕΡΜ ΠΛΗΡΟΥΣ ΚΑΛΩΔ ΣΕ KV1200/150 ή 200''</t>
  </si>
  <si>
    <t>1000.2.I.ε.</t>
  </si>
  <si>
    <t>Μ/Τ ΧΩΡ ΠΛ ΣΤ 5Χ30-6Χ30cm ΧΩΡ ΕΠΑΝ FTTH</t>
  </si>
  <si>
    <t>1000.2.I.στ.</t>
  </si>
  <si>
    <t>5121.6   ΤΕΡΜ ΠΛΗΡΟΥΣ ΚΑΛΩΔ ΣΕ KV1200/300 ή 400''</t>
  </si>
  <si>
    <t>Μ/Τ ΧΩΡ ΠΛ ΣΤ 5Χ45-6Χ45cm ΧΩΡ ΕΠΑΝ FTTH</t>
  </si>
  <si>
    <t>1000.3.I.α.</t>
  </si>
  <si>
    <t>5131.1   ΤΕΡΜ ΣΤΕΓΝ ΚΑΛΩΔ ΣΕ KV1200/50 ή70 ή100''</t>
  </si>
  <si>
    <t>Μ/Τ ΠΛ ΣΤ 8Χ30cm ΕΠΑΝ ΛΟΙΠ ΔΙΑΜ ΠΕΡ FTTH</t>
  </si>
  <si>
    <t>1000.3.I.β.</t>
  </si>
  <si>
    <t>Μ/Τ ΠΛ ΣΤ 8Χ45,10Χ45-50cm ΕΠΑΝ ΛΟΙΠ FTTH</t>
  </si>
  <si>
    <t>5131.2   ΤΕΡΜΑΤΙΣΜΟΣ ΣΤΕΓΝ ΚΑΛΩΔ ΣΕ KV1200/ 200''</t>
  </si>
  <si>
    <t>1000.3.I.γ.</t>
  </si>
  <si>
    <t>Μ/Τ ΠΛ ΣΤ 16Χ45-16Χ50cm ΕΠΑΝ ΛΟΙΠ FTTH</t>
  </si>
  <si>
    <t>5131.3   ΤΕΡΜ ΣΤΕΓΝ ΚΑΛΩΔ ΣΕ KV1200/ 300 ή 400''</t>
  </si>
  <si>
    <t>1000.3.I.δ.</t>
  </si>
  <si>
    <t>Μ/Τ ΠΛ ΣΤ 16Χ55-16Χ60cm ΕΠΑΝ ΛΟΙΠ FTTH</t>
  </si>
  <si>
    <t>5151   ΒΑΦΗ ΚΑΤΑΝΕΜΗΤΗ ΚΑΛΩΔΙΩΝ</t>
  </si>
  <si>
    <t>1000.3.I.ε.</t>
  </si>
  <si>
    <t>Μ/Τ ΧΩΡ ΠΛ ΣΤ 5Χ30-6Χ30cmΕΠΑΝ ΛΟΙΠ FTTH</t>
  </si>
  <si>
    <t>1000.3.I.στ.</t>
  </si>
  <si>
    <t>Μ/Τ ΧΩΡ ΠΛ ΣΤ 5Χ45-6Χ45cm ΕΠΑΝ ΛΟΙΠ FTTH</t>
  </si>
  <si>
    <t>5155   ΑΝΤΙΚΑΤΑΣΤΑΣΗ ΠΟΡΤΑΣ KV</t>
  </si>
  <si>
    <t>1001</t>
  </si>
  <si>
    <t>ΕΚΣΚΑΦΗ ΣΚΑΜΜΑΤΩΝ</t>
  </si>
  <si>
    <t>5157   ΑΝΤΙΚΑΤΑΣΤΑΣΗ ΔΙΑΒΡΩΜΕΝΟΥ ΜΑΝΔΥΑ KV</t>
  </si>
  <si>
    <t>1011</t>
  </si>
  <si>
    <t>ΑΠΟΞΗΛΩΣΗ ΔΙΑΜΟΡΦΩΜΕΝΗΣ ΕΠΙΦΑΝΕΙΑΣ Μ/Τ</t>
  </si>
  <si>
    <t>1015</t>
  </si>
  <si>
    <t>ΑΠΟΚΑΛΥΨΗ ΚΑΠΑΚΙΟΥ ΦΡΕΑΤΙΟΥ</t>
  </si>
  <si>
    <t>5201   ΤΟΠΟΘ ΚΟΥΤ ΔΙΑΝΟΜΗΣ ΝΕΟΥ ΤΥΠ ΕΠΙ ΤΟΙΧ/ΣΤ</t>
  </si>
  <si>
    <t>1020</t>
  </si>
  <si>
    <t>ΕΚΣΚ ΛΑΚΚΟΥ ΓΙΑ ΕΝΤΟΠΙΣΜΟ ΚΑΛΩΔΙΑΚ ΒΛΑΒΗ</t>
  </si>
  <si>
    <t>5211   ΑΦΑΙΡ ΑΚΡ ΔΙΑΚΛ ή ΚΟΥΤ ΜΕΤΑΦ ΜΕ ΚΑΛ 10''</t>
  </si>
  <si>
    <t>1021</t>
  </si>
  <si>
    <t>ΕΚΣΚ ΛΑΚΚΟΥ ΜΟΥΦΑΣ ΣΥΜΜΕΤΡΙΚΩΝ ΚΑΛΩΔΙΩΝ</t>
  </si>
  <si>
    <t>5212   ΑΦΑΙΡ ΣΙΔΗΡΟΣΩΛΗΝΑ ΑΝΥΨΩΣΗΣ ΑΠΟ ΤΟΙΧ/ΣΤΥ</t>
  </si>
  <si>
    <t>1024</t>
  </si>
  <si>
    <t>ΕΚΣΚ ΛΑΚΚΟΥ ΜΟΥΦΑΣ ΚΑΛΩΔΙΩΝ ΟΠΤΙΚΩΝ ΙΝΩΝ</t>
  </si>
  <si>
    <t>5241   ΒΑΦΗ &amp; ΑΡΙΘΜ ΑΔ ή ΚΜ ή ΑΡΙΘΜ ΚΥΤ ΔΙΑΜ ΝΤ</t>
  </si>
  <si>
    <t>1025</t>
  </si>
  <si>
    <t>ΕΚΣΚ ΛΑΚΚΟΥ ΓΙΑ ΑΡΣΗ ΚΑΛΩΔΙΑΚΗΣ ΒΛΑΒΗΣ</t>
  </si>
  <si>
    <t>5242.1   ΑΛΛΑΓΗ ΑΡΙΘΜΗΣΗΣ ΣΕ ΕΙΣΑΓΩΓΗ 10-100''</t>
  </si>
  <si>
    <t>1101</t>
  </si>
  <si>
    <t>ΚΟΠΗ ΔΙΑΜΟΡΦ ΠΕΖΟΔΡΟΜΙΟΥ/ΟΔΟΣΤΡΩΜΑΤΟΣ</t>
  </si>
  <si>
    <t>1102</t>
  </si>
  <si>
    <t>ΔΙΑΤΡΗΣΗ ΟΔΟΣΤΡΩΜΑΤΟΣ ΜΕ ΔΙΑΤΡ ΜΗΧΑΝΗΜΑ</t>
  </si>
  <si>
    <t>5251   ΜΕΤΑΤΡΟΠΗ ΓΡΑΜΜΗΣ ΣΥΝΔΡΟΜΗΤΗ (ΑΤΟΜ ΓΡΑΜ)</t>
  </si>
  <si>
    <t>5311   ΚΑΤΑΣΚ ΓΕΙΩΣΗΣ KV ΠΑΛ/ΝΕΟΥ ΤΥΠΟΥ ή σε ΔΚ</t>
  </si>
  <si>
    <t>1111</t>
  </si>
  <si>
    <t>ΕΙΣΑΓΩΓΗ ΚΑΛΩΔΙΟΥ ΣΕ ΠΟΛΥΚΑΤΟΙΚΙΑ</t>
  </si>
  <si>
    <t>5321   ΚΑΤΑΣΚ ΓΕΙΩΣΗ ΑΝΤΙΚΕΡΑΥΝ ΠΡΟΣΤ ΑΝΑ ΠΛΑΚΑ</t>
  </si>
  <si>
    <t>1501</t>
  </si>
  <si>
    <t>ΕΠΙΧ ΜΕ ΑΠΛΗ ΣΥΜΠΥΚΝ ΠΡΟΙΟΝΤΩΝ ΕΚΣΚΑΦΗΣ</t>
  </si>
  <si>
    <t>5356.1   ΤΟΠΟΘΕΤΗΣΗ ΘΗΛΙΑΣ ΕΠΙ ΣΤΎΛΟΥ ή ΤΟΙΧΟΥ</t>
  </si>
  <si>
    <t>1502</t>
  </si>
  <si>
    <t>ΕΠΙΧ ΜΕ ΕΠΙΜ ΣΥΜΠ ΤΩΝ ΠΡΟΙΟΝΤΩΝ ΕΚΣΚΑΦΗΣ</t>
  </si>
  <si>
    <t>5357   ΤΟΠ ΘΗΛΙΑΣ ΑΝΑΡΤ ΑΥΤΟΣΤ ΚΑΛ ΣΕ ΚΕΡΑΙΑ</t>
  </si>
  <si>
    <t>1520</t>
  </si>
  <si>
    <t>5358.1   ΤΟΠ ΧΑΛήΕΝΔ ΚΟΥΤ ΔΙΑΣ ΕΝ ΚΑΛ ΕπιΣΤΎΛήΤΟΙ</t>
  </si>
  <si>
    <t>ΕΠΙΧΩΣΗ ΜΕ ΘΡΑΥΣΤΟ ΥΛ ΠΤΠΟ-155&amp;ΕΠΙΜ ΣΥΜΠ</t>
  </si>
  <si>
    <t>1521</t>
  </si>
  <si>
    <t>ΕΠΙΧ ΜΕ ΘΡΑΥΣΤΟ ΥΛΙΚΟ ΠΤΠΟ-155 &amp; ΣΥΜΠ80%</t>
  </si>
  <si>
    <t>5359   ΑΦΑΙΡΕΣΗ (ΚΟΠΗ) ΘΗΛΙΑΣ ΑΠΟ ΤΟΙΧΟ</t>
  </si>
  <si>
    <t>1801.1</t>
  </si>
  <si>
    <t>ΚΑΤ ΤΑΦΡΟΥ 40Χ50 ΑΔΙΑΜ ΕΠΙΦ ή ΧΩΡΙΣ ΑΠΟΚ</t>
  </si>
  <si>
    <t>5360.2   ΤΟΠ ΣΤΕΦ ΑΥΤΟΣΤ ΚΑΛ ΣΤΥΛΟ-ΥΦ ή ΔΙΑΝ ΟΠΗ</t>
  </si>
  <si>
    <t>1801.2</t>
  </si>
  <si>
    <t>ΚΑΤ ΤΑΦΡΟΥ 40x50 ΣΕ ΔΙΑΜΟΡΦ ΕΠΙΦΑΝΙΑ</t>
  </si>
  <si>
    <t>1802.1</t>
  </si>
  <si>
    <t>ΚΑΤ ΤΑΦΡΟΥ 40Χ70 ΑΔΙΑΜ ΕΠΙΦ ή ΧΩΡΙΣ ΑΠΟΚ</t>
  </si>
  <si>
    <t>5363   ΤΟΠΟΘ ΚΕΡΑΙΑΣ ΕΠΙ ΣΤΥΛΟΥ ΠΛ ΕΞΟΠΛΙΣΜΕΝΗΣ</t>
  </si>
  <si>
    <t>1802.2</t>
  </si>
  <si>
    <t>ΚΑΤ ΤΑΦΡΟΥ 40x70 ΣΕ ΔΙΑΜΟΡΦ ΕΠΙΦΑΝΙΑ</t>
  </si>
  <si>
    <t>5365.2   ΤΟΠ ΑΓΚΙΣΤ ΑΝΑΡ ΑΥΤ ΚΑΛ-ΜΕήΧΩΡ ΤΡΥΠ ΣΤΥΛ</t>
  </si>
  <si>
    <t>1830</t>
  </si>
  <si>
    <t>ΚΑΤΑΣΚΕΥΗ ΔΙΑΒΑΣΗΣ ΟΔΟΥ 2Ω ΕΩΣ 4Ω</t>
  </si>
  <si>
    <t>5370.1   ΤΕΡΜΑΤ ΑΥΤΟΣΤ ΚΑΛ 2,5'' ΣΕ ΧΚ,ΚΔ,Εισ</t>
  </si>
  <si>
    <t>1900.1.I.i.</t>
  </si>
  <si>
    <t>5370.3   ΤΕΡΜΑΤ ΑΥΤΟΣΤ ΚΑΛ 10'' ΣΕ ΧΚ,ΚΔ,Εισ</t>
  </si>
  <si>
    <t>1900.1.I.ii.</t>
  </si>
  <si>
    <t>5373   ΕΝΣΦΗΝΩΣΗ ΖΕΥΓ ΣΕ ΣΤΟΧ ΤΕΡΜ KV ΝΤ ή ΒΟΧ</t>
  </si>
  <si>
    <t>1900.1.I.iii.</t>
  </si>
  <si>
    <t>5375.1   ΚΑΤΑΣ ΝΤΣ (PSTN,ISDN/PCM)-ΕΛΕΓΧ ΚΑΛ ΛΕΙΤ</t>
  </si>
  <si>
    <t>1900.1.I.iv.</t>
  </si>
  <si>
    <t>5375.2   ΚΑΤΑΣΚ ΝΕΑΣ ΣΥΝΔΕΣΗΣ LLU-ΕΛΕΓΧ ΚΑΛ ΛΕΙΤ</t>
  </si>
  <si>
    <t>5401   ΑΦΑΙΡ ΚΕΡΑΙΑΣ ή ΣΤΕΦ ΑΝΑΡΤ ΑΥΤ ΚΑΛ ή ΑΓΚ</t>
  </si>
  <si>
    <t>1900.1.II.v.</t>
  </si>
  <si>
    <t>5403   ΑΦΑΙΡ ΧΚ ή ΕΝΔ ΚΟΥΤ ΔΙΑΣ ΕΝ ΚΑΛ ΕΠΙ ΤΟΙ</t>
  </si>
  <si>
    <t>1900.1.II.vi.</t>
  </si>
  <si>
    <t>5405   ΑΛΛΑΓΗ ΘΕΣ ΚΕΡΑΙΑΣ ΠΑΝΤΟΣ ΤΥΠ-ΙΔΙΟ ΣΤΥΛΟ</t>
  </si>
  <si>
    <t>1900.2.I.i.</t>
  </si>
  <si>
    <t>5411   ΚΑΘΑΡΙΣΜΟ ΧΩΡΟΥ,ΕΞΑΣΦ ΠΡΟΣΒ ΣΕ ΔΙΑΤ ΔΙΚΤ</t>
  </si>
  <si>
    <t>1900.2.I.ii.</t>
  </si>
  <si>
    <t>6001.1   ΤΟΠΟΘ ΚΑΛΩΔ ΣΕ ΤΦ, ΔΣ, ΣΩΛ Α' ΚΑΤΗΓΟΡΙΑΣ</t>
  </si>
  <si>
    <t>6001.2   ΤΟΠΟΘ ΚΑΛΩΔ ΣΕ ΤΦ, ΔΣ, ΣΩΛ Β' ΚΑΤΗΓΟΡΙΑΣ</t>
  </si>
  <si>
    <t>1900.2.I.iii.</t>
  </si>
  <si>
    <t>6001.3   ΤΟΠΟΘ ΚΑΛΩΔ ΣΕ ΤΦ, ΔΣ, ΣΩΛ Γ' ΚΑΤΗΓΟΡΙΑΣ</t>
  </si>
  <si>
    <t>1900.2.I.iv.</t>
  </si>
  <si>
    <t>6001.4   ΤΟΠΟΘ ΚΑΛΩΔ ΣΕ ΤΦ, ΔΣ, ΣΩΛ Δ' ΚΑΤΗΓΟΡΙΑΣ</t>
  </si>
  <si>
    <t>1900.2.II.v.</t>
  </si>
  <si>
    <t>6001.5   ΤΟΠΟΘ ΚΑΛΩΔ ΣΕ ΤΦ, ΔΣ, ΣΩΛ Ε' ΚΑΤΗΓΟΡΙΑΣ</t>
  </si>
  <si>
    <t>1900.2.II.vi.</t>
  </si>
  <si>
    <t>6002.1   ΤΟΠΟΘ ΚΑΛΩΔ ΣΕ ΜΤ, ΜΣ, ΣΣ Ι ΚΑΤΗΓΟΡΙΑΣ</t>
  </si>
  <si>
    <t>1900.3.I.i.</t>
  </si>
  <si>
    <t>6002.2   ΤΟΠΟΘ ΚΑΛΩΔ ΣΕ ΜΤ, ΜΣ, ΣΣ ΙΙ ΚΑΤΗΓΟΡΙΑΣ</t>
  </si>
  <si>
    <t>1900.3.I.ii.</t>
  </si>
  <si>
    <t>6002.3   ΤΟΠΟΘ ΚΑΛΩΔ ΣΕ ΜΤ, ΜΣ, ΣΣ ΙΙΙ ΚΑΤΗΓΟΡΙΑΣ</t>
  </si>
  <si>
    <t>6003.1   ΤΟΠΟΘ ΚΑΛΩΔ ΣΕ ΕΚΦΥΛ Μ/Σ Ι ΚΑΤΗΓΟΡΙΑΣ</t>
  </si>
  <si>
    <t>1900.3.I.iii.</t>
  </si>
  <si>
    <t>6003.2   ΤΟΠΟΘ ΚΑΛΩΔ ΣΕ ΕΚΦΥΛ Μ/Σ ΙΙ ΚΑΤΗΓΟΡΙΑΣ</t>
  </si>
  <si>
    <t>1900.3.I.iv.</t>
  </si>
  <si>
    <t>6003.3   ΤΟΠΟΘ ΚΑΛΩΔ ΣΕ ΕΚΦΥΛ Μ/Σ ΙΙΙ ΚΑΤΗΓΟΡΙΑΣ</t>
  </si>
  <si>
    <t>6004.1   ΤΟΠ ΚΑΛΩΔ ΣΕ ΣΣ,ΜΣ,ΜΤ ΜΕ ΜΗΧ ΕΛΞ Ι ΚΑΤΗΓ</t>
  </si>
  <si>
    <t>1900.3.II.v.</t>
  </si>
  <si>
    <t>6004.2   ΤΟΠ ΚΑΛΩΔ ΣΕ ΣΣ,ΜΣ,ΜΤ ΜΕ ΜΗΧ ΕΛΞ ΙΙ ΚΑΤΗ</t>
  </si>
  <si>
    <t>1900.3.II.vi.</t>
  </si>
  <si>
    <t>6004.3   ΤΟΠ ΚΑΛΩΔ ΣΕ ΣΣ,ΜΣ,ΜΤ ΜΕ ΜΗΧ ΕΛΞ ΙΙΙ ΚΑΤ</t>
  </si>
  <si>
    <t>1905.I.i.</t>
  </si>
  <si>
    <t>Μ/Τ 2X30cm ΜΕ ΕΠΑΝΑΦ ΣΚΥΡΟΔΕΜΑ</t>
  </si>
  <si>
    <t>6005   ΑΝΑΣΥΡΣΗ &amp; ΕΠΑΝΑΤΟΠΟΘΕΤΗΣΗ ΚΑΛΩΔΙΩΝ ΟΤΕ</t>
  </si>
  <si>
    <t>6011.1   ΑΦ ΚΑΛΩΔ ΣΕ ΣΩΛ ΣΣ,ΜΣ,ΜΤ ΜΕ ΜΗΧ Ι ΚΑΤΗΓ</t>
  </si>
  <si>
    <t>1905.I.ii.</t>
  </si>
  <si>
    <t>Μ/Τ 2X30cm ΜΕ ΕΠΑΝΑΦ ΑΣΦΑΛΤΟΣΚΥΡΟΔΕΜΑ</t>
  </si>
  <si>
    <t>6012.1   ΑΦΑΙΡ ΚΑΛΩΔΙΩΝ ΣΕ ΣΣ,ΜΣ,ΜΤ Ι ΚΑΤΗΓΟΡΙΑΣ</t>
  </si>
  <si>
    <t>1905.I.iii.</t>
  </si>
  <si>
    <t>Μ/Τ 2X30cm ΑΔΙΑΜΟΡΦΩΤ ή ΧΩΡΙΣ ΕΠΑΝΑΦΟΡΑ</t>
  </si>
  <si>
    <t>6017   ΤΟΠΟΘ.ΣΤΕΓΝ.SHIEDED ΚΑΛΩΔ.ΣΥΝ.ΓΚ/ΦΣ</t>
  </si>
  <si>
    <t>1905.II.i.</t>
  </si>
  <si>
    <t>Μ/Τ 3X30cm ΕΠΑΝΑΦ ΑΣΦΑΛΤΟΣΚΥΡ ήΣΚΥΡΟΔΕΜΑ</t>
  </si>
  <si>
    <t>6019   ΑΦΑΙΡ ΑΥΤΟΣΤΗΡ ΣΥΝΔΡ ΚΑΛ ΚΑΛΤΣΑ 2,5,10''</t>
  </si>
  <si>
    <t>1905.II.ii.</t>
  </si>
  <si>
    <t>Μ/Τ 3X30cm ΜΕ ΕΠΑΝΑΦ ΛΟΙΠ ΠΕΡΙΠ ΔΙΑΜΟΡΦ</t>
  </si>
  <si>
    <t>6020.1   ΤΟΠΟΘ ΚΥΚΛ 2 ΑΓΩΓΩΝ ΓΥΜΝΩΝ ή ΜΕ PVC</t>
  </si>
  <si>
    <t>6020.2   ΑΦΑΙΡΕΣΗ ΚΥΚΛ 2 ΑΓΩΓΩΝ ΓΥΜΝΩΝ ή ΜΕ PVC</t>
  </si>
  <si>
    <t>1905.II.iii.</t>
  </si>
  <si>
    <t>Μ/Τ 3X30cm ΑΔΙΑΜΟΡΦΩΤ ή ΧΩΡΙΣ ΕΠΑΝΑΦΟΡΑ</t>
  </si>
  <si>
    <t>6021.1   ΤΟΠΟΘ ΕΝΑΕΡΙΩΝ ΑΥΤΟΣ ΚΑΛ Τ8  &lt;30'' &lt;Φ0,8</t>
  </si>
  <si>
    <t>6021.2   ΤΟΠΟΘ ΕΝΑΕΡΙΩΝ ΑΥΤΟΣ ΚΑΛ Τ8  &gt;30'' &lt;Φ0,8</t>
  </si>
  <si>
    <t>1905.III.i.</t>
  </si>
  <si>
    <t>Μ/Τ 2X40cm ΜΕ ΕΠΑΝΑΦ ΣΚΥΡΟΔΕΜΑ</t>
  </si>
  <si>
    <t>6021.3   ΤΟΠ ΕΝΑΕΡ ΚΑΛ ΤΥΠ ΚΑΛΤΣΑΣ 1 &amp; 2'' / Φ0,6</t>
  </si>
  <si>
    <t>1905.III.ii.</t>
  </si>
  <si>
    <t>Μ/Τ 2X40cm ΜΕ ΕΠΑΝΑΦ ΑΣΦΑΛΤΟΣΚΥΡΟΔΕΜΑ</t>
  </si>
  <si>
    <t>6021.4   ΤΟΠΟΘ ΕΝΑΕΡ ΚΑΛΩΔ ΤΥΠ ΚΑΛΤΣΑΣ 5'' / Φ0,6</t>
  </si>
  <si>
    <t>1905.III.iii.</t>
  </si>
  <si>
    <t>Μ/Τ 2X40cm ΑΔΙΑΜΟΡΦΩΤ ή ΧΩΡΙΣ ΕΠΑΝΑΦΟΡΑ</t>
  </si>
  <si>
    <t>6021.5   ΤΟΠΟΘ ΕΝΑΕΡ ΚΑΛΩΔ ΤΥΠ ΚΑΛΤΣΑΣ 10'' /Φ0,6</t>
  </si>
  <si>
    <t>1905.IV.i.</t>
  </si>
  <si>
    <t>Μ/Τ 3X40cm ΕΠΑΝΑΦ ΑΣΦΑΛΤΟΣΚΥΡ ήΣΚΥΡΟΔΕΜΑ</t>
  </si>
  <si>
    <t>6022.1   ΑΠΟΞΗΛ ΕΝΑΕΡΙΩΝ ΑΥΤΟΣ ΚΑΛ Τ8 &lt;30'' &lt;Φ0,8</t>
  </si>
  <si>
    <t>1905.IV.ii.</t>
  </si>
  <si>
    <t>Μ/Τ 3X40cm ΜΕ ΕΠΑΝΑΦ ΛΟΙΠ ΠΕΡΙΠ ΔΙΑΜΟΡΦ</t>
  </si>
  <si>
    <t>6022.2   ΑΠΟΞΗΛ ΕΝΑΕΡΙΩΝ ΑΥΤΟΣ ΚΑΛ Τ8 &gt;30'' &lt;Φ0,8</t>
  </si>
  <si>
    <t>1905.IV.iii.</t>
  </si>
  <si>
    <t>Μ/Τ 3X40cm ΑΔΙΑΜΟΡΦΩΤ ή ΧΩΡΙΣ ΕΠΑΝΑΦΟΡΑ</t>
  </si>
  <si>
    <t>6022.3   ΑΠΟΞ  ΕΝΑΕΡ ΚΑΛ ΤΥΠ ΚΑΛΤΣΑΣ 1 ή 2''/Φ0,6</t>
  </si>
  <si>
    <t>1910.I.i.</t>
  </si>
  <si>
    <t>ΚΑΤ ΔΙΑΝΟΜΗ FTTH -2m ΕΠΑΝ ΔΙΑΜ ΝΕΑ ΥΠΟΔ</t>
  </si>
  <si>
    <t>6022.4   ΑΠΟΞΗΛ ΕΝΑΕΡ ΚΑΛΩΔ ΤΥΠ ΚΑΛΤΣΑΣ 5''/ Φ0,6</t>
  </si>
  <si>
    <t>1910.I.ii.</t>
  </si>
  <si>
    <t>ΚΑΤ ΔΙΑΝΟΜΗ FTTH-2m ΕΠΑΝ ΑΔΙΑήΧΩΡ ΝΕΑ ΥΠ</t>
  </si>
  <si>
    <t>6022.5   ΑΠΟΞΗΛ  ΕΝΑΕΡ ΚΑΛΩΔ ΤΥΠ ΚΑΛΤΣΑ 10''/Φ0,6</t>
  </si>
  <si>
    <t>1910.II.i.</t>
  </si>
  <si>
    <t>ΚΑΤ ΔΙΑΝΟΜΗ FTTH 2-15m ΕΠ ΔΙΑΜ ΝΕΑ ΥΠΟΔ</t>
  </si>
  <si>
    <t>6023.1   ΤΟΠ ΜΕ ΚΑΡΦΩΜΑ ΚΑΛ 2'' ΣΕ ΕΞΩΤ ΕΠΙΦ ΚΤΙΡ</t>
  </si>
  <si>
    <t>1910.II.ii.</t>
  </si>
  <si>
    <t>ΚΑΤ ΔΙΑΝΟΜΗ FTTH 2-15mΕΠ ΑΔΙΑήΧΩΡ ΝΕΑ ΥΠ</t>
  </si>
  <si>
    <t>6023.2   ΤΟΠ ΜΕ ΚΑΡΦΩΜΑ ΚΑΛ 5'' ΣΕ ΕΞΩΤ ΕΠΙΦ ΚΤΙΡ</t>
  </si>
  <si>
    <t>1910.III.i.</t>
  </si>
  <si>
    <t>ΚΑΤ ΔΙΑΝΟΜΗ FTTH 15-30m ΕΠ ΔΙΑΜ ΝΕΑ ΥΠΟΔ</t>
  </si>
  <si>
    <t>6023.3   ΤΟΠ ΜΕ ΚΑΡΦΩΜΑ ΚΑΛ≥10'' ΣΕ ΕΞΩΤ ΕΠΙΦ ΚΤΙ</t>
  </si>
  <si>
    <t>1910.III.ii.</t>
  </si>
  <si>
    <t>ΚΑΤ ΔΙΑΝΟΜΗ FTTH15-30mΕΠ ΑΔΙΑήΧΩΡ ΝΕΑ ΥΠ</t>
  </si>
  <si>
    <t>6024.1   ΑΠΟΞΗΛ ΚΑΡΦΩΤΩΝ ΑΥΤΟΣΤ ΣΥΝΔΡΟΜ ΚΑΛΩΔ 2''</t>
  </si>
  <si>
    <t>6024.2   ΑΠΟΞΗΛ ΚΑΡΦΩΤΩΝ ΑΥΤΟΣΤ ΣΥΝΔΡΟΜ ΚΑΛΩΔ 5''</t>
  </si>
  <si>
    <t>6024.3   ΑΠΟΞΗΛ ΚΑΡΦΩΤΩΝ ΑΥΤΟΣ ΣΥΝΔΡΟΜ ΚΑΛΩΔ 10''</t>
  </si>
  <si>
    <t>6025   ΣΤΗΡ ΚΑΛ ΣΕ ΥΦ ΚΑΛ ΤΥΠ ΚΑΛΤΣΑ 2, 5, 10''</t>
  </si>
  <si>
    <t>6026.1   KΑΤΑΣΚ ΕΥΘ ΣΥΝΔΕΣΜΟΥ 10'' ΕΠΙ ΑΝΥΨ ΚΑΛΩΔ</t>
  </si>
  <si>
    <t>6026.2   KΑΤΑΣΚ ΕΥΘ ΣΥΝΔΕΣΜΟΥ 20'' ΕΠΙ ΑΝΥΨ ΚΑΛΩΔ</t>
  </si>
  <si>
    <t>1920</t>
  </si>
  <si>
    <t>ΚΑΤ&amp;ΤΟΠΟΘ ΒΑΣ ΚΑΜΠ G1 &amp;ΥΠΟΔ ΣΥΝΔ ΜΕ ΦΡΕΑ</t>
  </si>
  <si>
    <t>1925</t>
  </si>
  <si>
    <t>ΚΑΤΑΣΚΕΥΗ ΦΡΕΑΤΙΩΝ FTTH ΤΥΠΟΥ ΦΙΙΙ</t>
  </si>
  <si>
    <t>6026.3   KΑΤΑΣΚ ΕΥΘ ΣΥΝΔΕΣΜΟΥ 30'' ΕΠΙ ΑΝΥΨ ΚΑΛΩΔ</t>
  </si>
  <si>
    <t>1927.i.</t>
  </si>
  <si>
    <t>ΚΑΤΑΣ ΦΡΕΑΤΙΩΝ FTTH ΤΥΠΟΥ ΦIV</t>
  </si>
  <si>
    <t>6026.4   KΑΤΑΣΚ ΕΥΘ ΣΥΝΔΕΣΜΟΥ 50'' ΕΠΙ ΑΝΥΨ ΚΑΛΩΔ</t>
  </si>
  <si>
    <t>1927.ii.</t>
  </si>
  <si>
    <t>ΚΑΤΑΣΚ ΦΡΕΑΤΙΩΝ FTTH ΤΥΠΟΥ ΦΙVΑ</t>
  </si>
  <si>
    <t>6027   ΤΟΠΟΘ ΣΤΟΙΧ ΤΕΡΜΑΤ 10'' ΣΕ KV/ΚΔ/Εισ/ΓΚ</t>
  </si>
  <si>
    <t>1930</t>
  </si>
  <si>
    <t>ΔΙΑΣ ΣΩΛΗΝΙΣΚ ΦΡΕΑΤ ή ΚΟΥΤ ΔΙΑΚΛΑΔΩ FTTH</t>
  </si>
  <si>
    <t>6028   ΤΕΡΜ ΚΑΛ &lt;100'' ΣΕ KOYT ΔΙΑΝ ΝΤ/ΕΝΔ ΚΟΥΤ</t>
  </si>
  <si>
    <t>1935</t>
  </si>
  <si>
    <t>ΚΑΤ ΔΙΑΚΛΑΔ ΥΠΟΓ ΣΩΛΗΝΩΝ ή ΠΟΛΥΣΩΛ FTTH</t>
  </si>
  <si>
    <t>6029.1   ΤΕΡΜ ΚΑΛΩΔ Φ0,4-0,6 ΣΕ ΕΙΣΑΓΩΓΗ 10-100''</t>
  </si>
  <si>
    <t>1940.1</t>
  </si>
  <si>
    <t>ΑΠΟΚ ΑΣΦΑΛ ΟΔΟΣ FTTH 5cm Α265 ΥΦΙΣΤ ΟΔΟΣ</t>
  </si>
  <si>
    <t>6030   ΚΑΤΑΣ ΓΕΙΩΣΗ ΑΝΤΙΚΕΡ/ΚΗΣ ΠΡΟΣΤ-ΑΝΑ ΡΑΒΔΟ</t>
  </si>
  <si>
    <t>1940.2</t>
  </si>
  <si>
    <t>ΑΠΟΚ ΑΣΦ ΟΔΟΣ FTTH 5cm Α265 ΥΦ ΟΔΟΣ 30CM</t>
  </si>
  <si>
    <t>1940.3</t>
  </si>
  <si>
    <t>ΑΠΟΚ ΑΣΦ ΟΔΟΣ FTTH 5cm Α265 ΥΦ ΟΔΟΣ 50CM</t>
  </si>
  <si>
    <t>6032   ΚΑΤ ΓΕΙΩΣ ΑΝΤΙΚ/ΚΗΣ ΠΡΟΣΤ-ΧΑΛ ΣΥΡΜ/1ΡΑΒΔ</t>
  </si>
  <si>
    <t>1945</t>
  </si>
  <si>
    <t>ΕΚΠΟΝΗΣΗ ΚΥΚΛΟΦ ΜΕΛΕΤΗ ΕΡΓΑΣΙΩΝ FTTH</t>
  </si>
  <si>
    <t>1946</t>
  </si>
  <si>
    <t>ΕΓΚΑΤ ΣΥΝΕΡΓ ΕΚΤΑΚΤΩΝ ΑΝΑΓΚΩΝ ΑΣΦΑΛΤ</t>
  </si>
  <si>
    <t>6033.1   ΚΑΤΑΣΚΕΥΗ ΝΕΑΣ ΜΙΚΤΟΝΟΜΗΣΗΣ ΣΕ KV ή Εισ</t>
  </si>
  <si>
    <t>1947</t>
  </si>
  <si>
    <t>ΑΠΟΜ ΕΠΑΝΕΓΚ ΣΥΝΕΡΓ ΣΕ ΝΗΣ ΠΕΡ ΔΙΑΚ ΕΡΓ</t>
  </si>
  <si>
    <t>6033.2   ΑΠΟΞΗΛ ΠΑΛΑΙΑΣ ΜΙΚΤΟΝΟΜΗΣΗΣ ΑΠΟ KV ή Εισ</t>
  </si>
  <si>
    <t>1950</t>
  </si>
  <si>
    <t>ΑΥΤΟΨΙΑ ΣΕ ΚΤΙΡΙΟ (SITE SURVEY)</t>
  </si>
  <si>
    <t>1951</t>
  </si>
  <si>
    <t>6038   ΤΟΠΟΘΕΤ ΒΑΣΗΣ ΣΤΟΙΧΕΙΟΥ 10-100'' ΣΕ ΕΙΣΑ</t>
  </si>
  <si>
    <t>1952.I.i</t>
  </si>
  <si>
    <t>PILOT ΑΙΤΗΜ ΜΕ ΠΡΟΤΕΡΜΑΤΙΣΜΕΝΟ ΚΟΙ</t>
  </si>
  <si>
    <t>1952.I.ii</t>
  </si>
  <si>
    <t>PILOT ΑΙΤΗΜ ΜΕ ΚΑΤΑΣΚ ΟΡΙΖΟΝΤΙΑΣ ΥΠΟΔ</t>
  </si>
  <si>
    <t>6039   ΔΟΚΙΜΗ ΝΕΑΣ ΑΤΟΜ ΓΡΑΜΜΗΣ ΧΩΡΙΣ ΜΕΤΑΤΡΟΠΗ</t>
  </si>
  <si>
    <t>1952.II.i</t>
  </si>
  <si>
    <t>LAST DROP ΑΙΤΗΜ ΜΕ ΠΡΟΤΕΡΜΑΤΙΣΜΕΝΟ ΚΟΙ</t>
  </si>
  <si>
    <t>6065   ΜΕΤΑΦ ΚΑΙ ΕΓΚ ΥΠΑΙΘΡΙΟΥ Τ/Φ ΗΜΙΘΑΛΑΜΟΥ</t>
  </si>
  <si>
    <t>1952.II.ii</t>
  </si>
  <si>
    <t>LAST DROP ΑΙΤ ΜΕ ΚΑΤΑΣΚ ΟΡΙΖΟΝΤΙΑΣ ΥΠΟΔ</t>
  </si>
  <si>
    <t>1952.III.i</t>
  </si>
  <si>
    <t>ΒΛΑΒΗ ΜΕ ΠΡΟΤΕΡΜΑΤΙΣΜΕΝΟ ΚΟΙ</t>
  </si>
  <si>
    <t>6070   ΑΠΟΤΟΠΟΘ Τ/Φ ΗΜΙΘΑΛΑΜΟ ΜΟΝΟ ή &amp; ΠΥΛ/ΣΤΥΛ</t>
  </si>
  <si>
    <t>1952.III.ii</t>
  </si>
  <si>
    <t>ΒΛΑΒΗ ΟΡΙΖ ΥΠΟΔΟΜΗ ΟΔΕΥΣΗΣ</t>
  </si>
  <si>
    <t>6111   ΜΕΤΡΗΣΗ CAL ΣΕ ΜΟΝ ΔΙΚΤΥΟΥ ΚΑΜΠΙΝΕΣ ή ΚΚ</t>
  </si>
  <si>
    <t>Β'ΦΑΣΗ RETAIL ΜΕ ΠΑΡ&amp;ΕΝ.ΥΠ 14ΗΜ (Γ-Α)</t>
  </si>
  <si>
    <t>6115   ΜΕΤΑΓΩΓ ΣΥΝΔ ΑΠΌ ATM ΣΕ ETH DSLAM ΓΚ Α/Κ</t>
  </si>
  <si>
    <t>1953.I.i</t>
  </si>
  <si>
    <t>ΚΑΤ Β'ΗΠΕΙΡ.ΠΕΡ&lt;3 ΧΩ</t>
  </si>
  <si>
    <t>6121   ΜΕΤΑΓΩΓΗ ΣΥΝΔ ΑΠΌ DSLAM Α/Κ ΣΕ ΚΑΜΠ NGA</t>
  </si>
  <si>
    <t>1953.I.ii</t>
  </si>
  <si>
    <t>ΚΑΤ Β'ΗΠΕΙΡ.ΠΕΡ&gt;3 ΧΩ</t>
  </si>
  <si>
    <t>7010.1   ΚΑΤ ΕΥΘ ΣΥΝ ΚΟΙ ΜΟΝ ήΜΗ ΔΙΑΧ, ΒΡΑΔ 96 ΙΝ</t>
  </si>
  <si>
    <t>1953.II.i</t>
  </si>
  <si>
    <t>ΚΑΤ Β' ΝΗΣ.ΠΕΡ&lt;3 ΧΩΡ</t>
  </si>
  <si>
    <t>7010.2   ΚΑΤ ΕΥΘ ΣΥΝ ΚΟΙ ΜΟΝ ήΜΗ ΔΙΑΧ, ΒΡΑΔ 72 ΙΝ</t>
  </si>
  <si>
    <t>1953.II.ii</t>
  </si>
  <si>
    <t>ΚΑΤ Β' ΝΗΣ.ΠΕΡ&gt;3 ΧΩΡ</t>
  </si>
  <si>
    <t>7010.3   ΚΑΤ ΕΥΘ ΣΥΝ ΚΟΙ ΜΟΝ ήΜΗ ΔΙΑΧ, ΒΡΑΔ 60 ΙΝ</t>
  </si>
  <si>
    <t>7010.4   ΚΑΤ ΕΥΘ ΣΥΝ ΚΟΙ ΜΟΝ ήΜΗ ΔΙΑΧ, ΒΡΑΔ 48 ΙΝ</t>
  </si>
  <si>
    <t>7010.5   ΚΑΤ ΕΥΘ ΣΥΝ ΚΟΙ ΜΟΝ ήΜΗ ΔΙΑΧ, ΒΡΑΔ 36 ΙΝ</t>
  </si>
  <si>
    <t>7010.6   ΚΑΤ ΕΥΘ ΣΥΝ ΚΟΙ ΜΟΝ ήΜΗ ΔΙΑΧ, ΒΡΑΔ 24 ΙΝ</t>
  </si>
  <si>
    <t>7010.7   ΚΑΤ ΕΥΘ ΣΥΝ ΚΟΙ ΜΟΝ ήΜΗ ΔΙΑΧ, ΒΡΑΔ 12 ΙΝ</t>
  </si>
  <si>
    <t>7020.8   ΚΑΤ ΕΥΘ ΣΥΝ ΚΟΙ ΜΟΝ ήΜΗ ΔΙΑΧ, ΒΡΑΔ 4 ΙΝΩ</t>
  </si>
  <si>
    <t>7030.1   ΚΑΤ ΔΙΑΚΛ ΣΥΝΔ ΚΟΙ ΜΟΝΟΚ ή ΜΗ ΔΙΑΧ 96 ΙΝ</t>
  </si>
  <si>
    <t>7030.2   ΚΑΤ ΔΙΑΚΛ ΣΥΝΔ ΚΟΙ ΜΟΝΟΚ ή ΜΗ ΔΙΑΧ 72 ΙΝ</t>
  </si>
  <si>
    <t>7030.3   ΚΑΤ ΔΙΑΚΛ ΣΥΝΔ ΚΟΙ ΜΟΝΟΚ ή ΜΗ ΔΙΑΧ 60 ΙΝ</t>
  </si>
  <si>
    <t>1977.III</t>
  </si>
  <si>
    <t>ΕΓΚ/ΣΗ SPLITTER  ΣΕ BEP/BCP</t>
  </si>
  <si>
    <t>7030.4   ΚΑΤ ΔΙΑΚΛ ΣΥΝΔ ΚΟΙ ΜΟΝΟΚ ή ΜΗ ΔΙΑΧ 36 ΙΝ</t>
  </si>
  <si>
    <t>ΟΜΑΔΟΠΟΙΗΜ ΕΓΚ/ΣΗ SPLITTER  ΣΕ BEP/BCP</t>
  </si>
  <si>
    <t>7030.5   ΚΑΤ ΔΙΑΚΛ ΣΥΝΔ ΚΟΙ ΜΟΝΟΚ ή ΜΗ ΔΙΑΧ 24 ΙΝ</t>
  </si>
  <si>
    <t>7030.6   ΚΑΤ ΔΙΑΚΛ ΣΥΝΔ ΚΟΙ ΜΟΝΟΚ ή ΜΗ ΔΙΑΧ 12 ΙΝ</t>
  </si>
  <si>
    <t>7050.1   ΑΠΟΜ ΙΝΩΝ ΥΦ ΣΥΝΔ ΚΟΙ ΜΗ ΜΟΝ ΔΙΑΧ 12 ΙΝ</t>
  </si>
  <si>
    <t>7050.2   ΑΠΟΜ ΙΝΩΝ ΥΦ ΣΥΝΔ ΚΟΙ ΜΗ ΜΟΝ ΔΙΑΧ 24 ΙΝ</t>
  </si>
  <si>
    <t>7050.3   ΑΠΟΜ ΙΝΩΝ ΥΦ ΣΥΝΔ ΚΟΙ ΜΗ ΜΟΝ ΔΙΑΧ 36 ΙΝ</t>
  </si>
  <si>
    <t>7050.4   ΑΠΟΜ ΙΝΩΝ ΥΦ ΣΥΝΔ ΚΟΙ ΜΗ ΜΟΝ ΔΙΑΧ 60 ΙΝ</t>
  </si>
  <si>
    <t>7050.5   ΑΠΟΜ ΙΝΩΝ ΥΦ ΣΥΝΔ ΚΟΙ ΜΗ ΜΟΝ ΔΙΑΧ 72 ΙΝ</t>
  </si>
  <si>
    <t>7060.1   ΑΠΟΜ ΙΝΩΝ ΥΦ ΣΥΝΔ ΚΟΙ ΜΟΝΟΚ ΔΙΑΧ 12 ΙΝ</t>
  </si>
  <si>
    <t>7060.2   ΑΠΟΜ ΙΝΩΝ ΥΦ ΣΥΝΔ ΚΟΙ ΜΟΝΟΚ ΔΙΑΧ 24 ΙΝ</t>
  </si>
  <si>
    <t>1987.I.i.</t>
  </si>
  <si>
    <t>ΣΥΝΔ ΠΕΛΑΤΗ, ΟΡΙΖ ΣΤΗ ΔΙΑΡΚ ΚΑΤΑΚ ΟΡ&lt;15m</t>
  </si>
  <si>
    <t>1987.I.ii.</t>
  </si>
  <si>
    <t>7060.3   ΑΠΟΜ ΙΝΩΝ ΥΦ ΣΥΝΔ ΚΟΙ ΜΟΝΟΚ ΔΙΑΧ 36 ΙΝ</t>
  </si>
  <si>
    <t>ΣΥΝΔ ΠΕΛΑΤΗ, ΟΡΙΖ ΣΤΗ ΔΙΑΡΚ ΚΑΤΑΚ ΟΡ&lt;30m</t>
  </si>
  <si>
    <t>7060.4   ΑΠΟΜ ΙΝΩΝ ΥΦ ΣΥΝΔ ΚΟΙ ΜΟΝΟΚ ΔΙΑΧ 60 ΙΝ</t>
  </si>
  <si>
    <t>1987.I.iii.</t>
  </si>
  <si>
    <t>ΣΥΝΔ ΠΕΛΑΤΗ, ΟΡΙΖ ΣΤΗ ΔΙΑΡΚ ΚΑΤΑΚ ΟΡ&gt;30m</t>
  </si>
  <si>
    <t>7060.5   ΑΠΟΜ ΙΝΩΝ ΥΦ ΣΥΝΔ ΚΟΙ ΜΟΝΟΚ ΔΙΑΧ 72 ΙΝ</t>
  </si>
  <si>
    <t>1987.II.i.</t>
  </si>
  <si>
    <t>ΣΥΝΔ ΠΕΛΑΤΗ, ΟΡΙΖ ΜΕΤ ΟΛΟΚΛ ΚΑΤΑΚ ΟΡ&lt;15m</t>
  </si>
  <si>
    <t>7110.1   ΤΕΡΜ ΚΟΙ/mKOI ΜΟΝ ή ΜΗ ΔΙΑΧ ODF/ONU 96 Ι</t>
  </si>
  <si>
    <t>1987.II.ii.</t>
  </si>
  <si>
    <t>ΣΥΝΔ ΠΕΛΑΤΗ, ΟΡΙΖ ΜΕΤ ΟΛΟΚΛ ΚΑΤΑΚ ΟΡ&lt;30m</t>
  </si>
  <si>
    <t>7110.2   ΤΕΡΜ ΚΟΙ/mKOI ΜΟΝ ή ΜΗ ΔΙΑΧ ODF/ONU 72 Ι</t>
  </si>
  <si>
    <t>1987.II.iii.</t>
  </si>
  <si>
    <t>ΣΥΝΔ ΠΕΛΑΤΗ, ΟΡΙΖ ΜΕΤ ΟΛΟΚΛ ΚΑΤΑΚ ΟΡ&gt;30m</t>
  </si>
  <si>
    <t>7110.3   ΤΕΡΜ ΚΟΙ/mKOI ΜΟΝ ή ΜΗ ΔΙΑΧ ODF/ONU 60 Ι</t>
  </si>
  <si>
    <t>1987.iii.</t>
  </si>
  <si>
    <t>ΑΠΟΚΑΤΑΣΤΑΣΗ ΟΡΙΖONTΙΑΣ ΣΥΝΔEΣΗΣ ΠΕΛΑΤΗ</t>
  </si>
  <si>
    <t>7110.4   ΤΕΡΜ ΚΟΙ/mKOI ΜΟΝ ή ΜΗ ΔΙΑΧ ODF/ONU 36 Ι</t>
  </si>
  <si>
    <t>7110.5   ΤΕΡΜ ΚΟΙ/mKOI ΜΟΝ ή ΜΗ ΔΙΑΧ ODF/ONU 24 Ι</t>
  </si>
  <si>
    <t>7110.6   ΤΕΡΜ ΚΟΙ/mKOI ΜΟΝ ή ΜΗ ΔΙΑΧ ODF/ONU 12 Ι</t>
  </si>
  <si>
    <t>1989</t>
  </si>
  <si>
    <t>7110.7   ΤΕΡΜ ΚΟΙ/mKOI ΜΟΝ ή ΜΗ ΔΙΑΧ ODF/ONU 4 ΙΝ</t>
  </si>
  <si>
    <t>7151   ΤΕΡΜ ΟΙ ΣΕ ODF ή ΜΟΔ,ΕΣΩΤ ή ΥΠΑΙΘΡ ΕΓΚΑΤ</t>
  </si>
  <si>
    <t>7155   ΜΕΤΡΗΣΕΙΣ Ο.Ι. ΜΕ OTDR ΚΑΙ ΠΟΜΠΟΔΕΚΤΗ</t>
  </si>
  <si>
    <t>7210   ΤΟΠΟΘ ΙΚΡΙΩΜΑΤΟΣ ΟΠΤΙΚΟΥ ΚΑΤΑΝΕΜΗΤ ΣΕ ΑΚ</t>
  </si>
  <si>
    <t>7220   ΤΟΠΟΘ ΚΟΥΤ ΤΕΡΜΑΤ ΚΟΙ/mKOI ΣΕ ΚΤΙΡ ΠΕΛΑΤ</t>
  </si>
  <si>
    <t>7310.1   ΤΟΠΟΘ ΚΟΙ ή mKOI ΣΕ ΠΛ.ΣΩΛ ΤΑΦΡ/ΜΤ/ΟΜΣ</t>
  </si>
  <si>
    <t>7310.2   ΤΟΠΟΘ ΚΟΙ ή mKOI ΣΕ ΠΛ.ΣΩΛ ΣΣ/ΟΜΣ</t>
  </si>
  <si>
    <t>7310.3   ΤΟΠ ΚΟΙ ή mKOI ΣΕ ΠΛ.ΣΩΛ ΥΦ ΕΚΦΥΛΙΣΜ Μ/Σ</t>
  </si>
  <si>
    <t>1996</t>
  </si>
  <si>
    <t>7310.4   ΤΟΠ ΚΟΙ ή mKOI ΣΕ ΣΧΑΡΑ,ΚΑΝΑΛ,ΨΕΥΔΟΡ,ΣΩΛ</t>
  </si>
  <si>
    <t>1997</t>
  </si>
  <si>
    <t>7350   ΤΟΠΟΘΕΤΗΣΗ ΕΝΑΕΡΙΩΝ ΚΟΙ 12 ΙΝΩΝ</t>
  </si>
  <si>
    <t>7360   ΑΠΟΤΟΠ ΚΟΙ/mΚΟΙ ΑΠΟ ΠΛΑΣ ΣΩΛ ΣΤΟ ΕΔΑΦΟΣ</t>
  </si>
  <si>
    <t>8025.1   ΕΓΚ DSLAM ΜΕ ΣΥΝΔΡΟΜΗΤΙΚΗ ΚΑΛΩΔ 3 ΚΑΡΤΩΝ</t>
  </si>
  <si>
    <t>8025.2   ΕΓΚ DSLAM ΜΕ ΣΥΝΔΡ ΠΡΟΚΑΛΩΔΙΩΣΗ 3 ΚΑΡΤΩΝ</t>
  </si>
  <si>
    <t>8030.1   ΕΓΚ ΕΠΙΠΛΕΟΝ ΣΥΝΔΡΟΜ ΚΑΡΤΑ ΣΕ ΑΡΧΙΚΗ ΕΓΚ</t>
  </si>
  <si>
    <t>8030.2   ΕΓΚ ΕΠΙΠΛΕΟΝ ΣΥΝΔΡΟΜ ΚΑΡΤΑ ΣΕ ΥΦΙΣΤ ΕΓΚ</t>
  </si>
  <si>
    <t>ΑΠΟΞ ΕΝΑΕΡ ΚΑΡΦ ΟΠΤ ΚΑΛ ΕΩΣ 15m</t>
  </si>
  <si>
    <t>8040   ΕΝΕΡΓΟΠΟΙΗΣΗ DSLAM ΚΑΙ RMU ΚΑΜΠΙΝΑΣ</t>
  </si>
  <si>
    <t>ΑΠΟΞ ΕΝΑΕΡ ΚΑΡΦ ΟΠΤ ΚΑΛ &gt; 15m</t>
  </si>
  <si>
    <t>ΑΠΟΞ ΕΝΑΕΡ ΚΑΡΦ ΟΠΤ ΚΑΛ ΜΤΞ 2 ΣΤΥΛΩΝ</t>
  </si>
  <si>
    <t>6201   ΑΠΕΓ ΣΕΥΚ ΑΠΟ KV–ΕΓΚ ΣΕΥΚ ΣΕ ΝΕΑ ΚΑΜΠ/KV</t>
  </si>
  <si>
    <t>2002</t>
  </si>
  <si>
    <t>ΠΡΟΜΗΘ ή ΠΑΡΑΣΚΕΥΗ ΣΚΥΡΟΔΕΜ ΚΑΤΗΓ C12/15</t>
  </si>
  <si>
    <t>6211   ΜΕΤΡΗΣΗ ΣΤΑΘΜ ΘΟΡΥΒΟΥ ΚΑΜΠ, ΕΚΔ ΠΙΣΤΟΠΟΙ</t>
  </si>
  <si>
    <t>2003</t>
  </si>
  <si>
    <t>ΠΡΟΜΗΘ ή ΠΑΡΑΣΚΕΥΗ ΣΚΥΡΟΔΕΜ ΚΑΤΗΓ C16/20</t>
  </si>
  <si>
    <t>1.1002.1   ΕΚΣ ΤΑΦΡΟΥ 40 Χ 50 ΕΚ ΓΙΑ ΤΟΠΟΘ.ΚΑΛΩΔΙΩΝ</t>
  </si>
  <si>
    <t>2004</t>
  </si>
  <si>
    <t>ΠΡΟΜ ή ΠΑΡΑΣΚ ΣΚΥΡΟΔ ΤΥΠ TRANCHEES,REMBL</t>
  </si>
  <si>
    <t>2051</t>
  </si>
  <si>
    <t>ΞΥΛΟΤΥΠΟΣ ΕΓΚΙΒΩΤΙΣΜΟΥ ΣΚΥΡΟΔΕΜΑΤΟΣ</t>
  </si>
  <si>
    <t>1.1002.2   ΕΚΣ ΤΑΦΡΟΥ 40 Χ 70 ΕΚ ΓΙΑ ΤΟΠΟΘ.ΚΑΛΩΔΙΩΝ</t>
  </si>
  <si>
    <t>2071</t>
  </si>
  <si>
    <t>ΠΡΟΜΗΘΕΙΑ ΣΙΔΗΡΟΥΣ ΟΠΛΙΣΜΟΣ  S 500 S</t>
  </si>
  <si>
    <t>KG</t>
  </si>
  <si>
    <t>1.1002.3   ΕΚΣ ΤΑΦΡΟΥ 40 Χ 80 ΕΚ ΓΙΑ ΤΟΠΟΘ.ΚΑΛΩΔΙΩΝ</t>
  </si>
  <si>
    <t>2081</t>
  </si>
  <si>
    <t>ΠΡΟΜ ΣΙΔΗΡΟΥΣ ΟΠΛΙΣΜΟΣ S500S ΔΟΜ ΠΛΕΓΜΑ</t>
  </si>
  <si>
    <t>1.1002.4   ΕΚΣ ΤΑΦΡΟΥ 50 Χ100 ΕΚ ΓΙΑ ΤΟΠΟΘ.ΚΑΛΩΔΙΩΝ</t>
  </si>
  <si>
    <t>1.1031   ΕΚΣΚ ΔΑΝΕΙΟΘΑΛΑΜΩΝ &amp; ΜΕΤΑΦΟΡΑ ΠΡΟΙΟΝΤΩΝ</t>
  </si>
  <si>
    <t>2101</t>
  </si>
  <si>
    <t>ΕΠΑΝΑΦΟΡΑ ΥΠΟΣΤΡ ΠΕΖΟΔΡ ΜΕ ΣΚΥΡΟΔ C12/15</t>
  </si>
  <si>
    <t>1.1106.1   ΚΑΤ ΔΙΑΤΡΗΣΗ ΚΑΤΩ ΑΠΟ ΚΟΙΤΗ ΧΑΛΑΡΑ ΕΔΑΦΗ</t>
  </si>
  <si>
    <t>1.1106.2   ΚΑΤ ΔΙΑΤΡΗΣΗ ΚΑΤΩ ΑΠΟ ΚΟΙΤΗ ΒΡΑΧΏΔΗ ΕΔΑΦ</t>
  </si>
  <si>
    <t>2111</t>
  </si>
  <si>
    <t>ΕΠΑΝΑΦΟΡΑ ΠΕΖΟΔΡΟΜ ΜΕ ΣΚΥΡΟΔ C12/15 10cm</t>
  </si>
  <si>
    <t>1.1522   ΕΠΙΧΩΣΗ ΜΕ ΘΡΑΥΣΤΟ ΥΛ ΠΤΠΟ-155&amp; ΣΥΜΠ 95%</t>
  </si>
  <si>
    <t>1.1531   ΚΑΤΑΣ ΣΤΡ ΥΛ ΠΤΠ Ο155 ΣΤΑΘΕΡ ΜΕ ΤΣΙΜΕΝΤΟ</t>
  </si>
  <si>
    <t>1.1532   ΛΙΘΟΠΛΗΡΩΣΗ ΤΑΦΡΟΥ ΚΑΛΩΔΙΩΝ</t>
  </si>
  <si>
    <t>2113</t>
  </si>
  <si>
    <t>ΚΑΤΑΣΚ ΕΠΙΣΤΡΩΣ ΤΑΦΡ ΟΜΒΡ ΥΔ C12/15 10ΕΚ</t>
  </si>
  <si>
    <t>1.1601   ΦΟΡΤΟΕΚΦ &amp; ΜΕΤΑΦ ΠΡ ΚΑΤΑΠΤ ΑΝΩΘΕΝ ΤΑΦΡ</t>
  </si>
  <si>
    <t>1.1701   ΚΑΤΑΣΚΕΥΗ ΑΝΤΙΣΤΗΡΙΞΕΩΝ</t>
  </si>
  <si>
    <t>2115</t>
  </si>
  <si>
    <t>ΕΠΑΝΑΦ ΠΕΖΟΔΡ ή ΟΔΟΣΤΡΩΜ ΜΕ C12/15 20 ΕΚ</t>
  </si>
  <si>
    <t>1.1821.1   ΚΑΤ ΤΦ 40Χ70 Δ ΕΠ ΕΠΧ Θ Υ80%-ΤΟΥΒ&amp;ΠΛ ΣΗΜ</t>
  </si>
  <si>
    <t>1.1822.1   ΚΑΤ ΤΦ40Χ70 ΑΔ ΕΠ ΕΠΧ ΘΥ80%-ΤΟΥΒ&amp;ήΠΛ ΣΗΜ</t>
  </si>
  <si>
    <t>2121</t>
  </si>
  <si>
    <t>ΕΠΑΝ ΠΕΖΟΔΡ/ΠΕΖΟΔΡΟΜΟΥ/ΟΔΟΣΤ C16/20 10ΕΚ</t>
  </si>
  <si>
    <t>1.2125   ΕΠΑΝ ΠΕΖΟΔΡΟΜ ΛΕΥΚΑ ΚΟΧΛΑΚΙΑ ΤΥΠΟΥ ΡΟΔΟΥ</t>
  </si>
  <si>
    <t>2135</t>
  </si>
  <si>
    <t>ΕΠΑΝ ΠΕΖ ΛΕΥΚΗήΧΡΩΜ ΤΣΙΜ/ΝΙΑ C12/15-10cm</t>
  </si>
  <si>
    <t>1.2151   ΕΠΑΝΑΦ ΠΕΖΟΔ ΑΠΟ ΤΕΧΝΗΤΕΣ ΠΛΑΚ/ΠΛΑΚΙΔΙΑ</t>
  </si>
  <si>
    <t>2145</t>
  </si>
  <si>
    <t>ΕΠΑΝΑΦΟΡΑ ΠΕΖΟΔΡΟΜ ΜΕ ΜΩΣΑΙΚΟ C12/15-8cm</t>
  </si>
  <si>
    <t>1.2232   ΕΠΑΝ ΠΕΖΟΔΡ ΜΕ ΛΙΘΟΥΣ ΕΜΠΗΓΜ ΣΕ ΥΠ ΣΚΥΡ</t>
  </si>
  <si>
    <t>2155</t>
  </si>
  <si>
    <t>ΕΠΑΝ ΠΕΖΟΔΡ ΤΕΧΝ ΠΛΑΚΕήΠΛΑΚΙΔ C12/15-8cm</t>
  </si>
  <si>
    <t>1.2241   ΕΠΑΝΑΦΟΡΑ ΠΕΖΟΔΡΟΜΙΟΥΑΠΟ ΧΛΟΟΤΑΠΗΤΑ</t>
  </si>
  <si>
    <t>2175</t>
  </si>
  <si>
    <t>1.2313   ΕΠΑΝΑΦ ΚΑΤΑΣΤΡΩΜΑΤΟΣ ΟΔΟΥ ΜΕ C16/20 20cm</t>
  </si>
  <si>
    <t>ΕΠΑΝΑΦ ΠΕΖΟΔΡ ΣΧΙΣΤΟΛΙΘ ΠΛΑΚΕ C12/15-8cm</t>
  </si>
  <si>
    <t>2205</t>
  </si>
  <si>
    <t>1.2323   ΕΠΑΝΑΦ ΚΑΤΑΣΤΡΩΜΑΤΟΣ ΟΔΟΥ ΜΕ C16/20 15cm</t>
  </si>
  <si>
    <t>ΕΠΑΝ ΠΕΖΟΔΡΟΜ ΜΑΡΜΑΡΙΝ ΠΛΑΚΕΣ C12/15-8cm</t>
  </si>
  <si>
    <t>1.2327   ΕΠΑΝΑΦ ΚΑΤΑΣΤΡΩΜΑΤΟΣ ΟΔΟΥ ΜΕ C16/20 5cm</t>
  </si>
  <si>
    <t>2221</t>
  </si>
  <si>
    <t>ΕΠΑΝΑΦ ΠΕΖΟΔΡ ΜΕ ΦΥΣΙΚ ή ΤΕΧΝ ΚΥΒΟΛΙΘΟΥΣ</t>
  </si>
  <si>
    <t>2301</t>
  </si>
  <si>
    <t>ΕΠΑΝΑΦ ΥΠΟΣΤΡΩΜΑΤΟΣ ΟΔΟΥ ΜΕ C12/15 15cm</t>
  </si>
  <si>
    <t>1.2341   ΕΠΑΝ ΚΑΤΑΣΤ ΟΔ ΜΕ ΛΙΘΟΥΣ ΕΜΠ ΣΕ ΥΠ ΣΚΥΡ</t>
  </si>
  <si>
    <t>2317</t>
  </si>
  <si>
    <t>1.2511   ΚΑΤΑΣΚ ΦΡΕΑΤ ΠΡΟΣΑΙΓΙΑΛΩΣΗΣ ΟΠΛ ΣΚΥΡΟΔ</t>
  </si>
  <si>
    <t>ΕΠΑΝ ΚΑΤΑΣΤΡ ΟΔΟΥ ή ΤΑΦ ΟΜΒΡ C16/20 10cm</t>
  </si>
  <si>
    <t>1.2512   ΕΠΙ ΠΛΕΟΝ ΔΑΠΑΝΗ ΓΙΑ ΠΡΟΚΑΤ ΦΡ ΠΡΟΣΑΙΓ</t>
  </si>
  <si>
    <t>2331</t>
  </si>
  <si>
    <t>ΕΠΑΝΑΦ ΚΑΤΑΣΤΡΩΜΑΤΟΣ ΟΔΟΥ ΜΕ ΚΥΒΟΛΙΘΟΥΣ</t>
  </si>
  <si>
    <t>1.2520.1   ΚΑΤ ΦΡΕ ΦΙΙΙ,ΣΤΕΓΑΝ,SDSLAM,PILL,ΗΛΕΚΤΡΟΔ</t>
  </si>
  <si>
    <t>2403</t>
  </si>
  <si>
    <t>ΕΠΑΝΑΦ ΚΑΤ ΟΔΟΥ ΑΣΦΑΛ/ΜΙΓΜΑ ΠΤΠΑ245 5cm</t>
  </si>
  <si>
    <t>1.2520.2   ΚΑΤ ΦΡΕ ΦΙΙΙ,ΣΤΕΓΑΝ,SDSLAM,PILL,ΧΩΡ ΗΛΕΚ</t>
  </si>
  <si>
    <t>2405</t>
  </si>
  <si>
    <t>ΕΠΑΝΑΦ ΚΑΤ ΟΔ ΑΣΦΑΛ/ΜΙΓΜΑ ΠΤΠ Α245 10cm</t>
  </si>
  <si>
    <t>1.2525.1   ΚΑΤ ΦΡΕ ΦΙΙΙ,ΣΤ,SDSLAM,mKV,PILL,ΗΛΕΚΤΡΟΔ</t>
  </si>
  <si>
    <t>2421</t>
  </si>
  <si>
    <t>ΕΠ.ΚΑΤ.ΟΔΟΥ-ΑΣΦ.ΣΚΥΡ.Α265 ΑΣΦ.ΣΤΡ.5ΕΚ</t>
  </si>
  <si>
    <t>1.2525.2   ΚΑΤ ΦΡΕ ΦΙΙΙ,ΣΤ,SDSLAM,mKV,PILL,ΧΩΡ ΗΛΕΚ</t>
  </si>
  <si>
    <t>2423</t>
  </si>
  <si>
    <t>ΕΠ.ΚΑΤ.ΟΔΟΥ-ΑΣΦ.ΣΚΥΡ.Α265 ΑΣΦ.ΣΤΡ.10ΕΚ</t>
  </si>
  <si>
    <t>1.2562.1   ΠΡΟΕΡΓ ΣΤΕΓΑΝΟΠΟΙΗΣΕΩΣ ΥΦΙΣΤ ΦΡΕΑΤΙΟΥ ΣΣ</t>
  </si>
  <si>
    <t>2425</t>
  </si>
  <si>
    <t>ΕΠ.ΚΑΤ.ΟΔΟΥ-ΑΣΦ.ΣΚΥΡ.Α265 ΑΣΦ.ΣΤΡ.15ΕΚ</t>
  </si>
  <si>
    <t>1.2562.2   ΠΡΟΕΡΓ ΣΤΕΓΑΝΟΠΟΙΗΣΕΩΣ ΥΦΙΣΤ ΦΡΕΑΤΙΟΥ ΦΙ</t>
  </si>
  <si>
    <t>2500.1</t>
  </si>
  <si>
    <t>ΚΑΤ ΒΑΣΗΣ, ΤΟΠΟΘ ΚΑΜΠΙΝΑ &amp; ΗΛΕΚΤΡΟΔΟΤΗΣΗ</t>
  </si>
  <si>
    <t>1.2562.3   ΠΡΟΕΡΓ ΣΤΕΓΑΝ ΥΦΙΣΤ ΦΡΕΑΤΙΟΥ ΦΙΙ ή ΦΙΙΑ</t>
  </si>
  <si>
    <t>2500.2</t>
  </si>
  <si>
    <t>1.2562.4   ΠΡΟΕΡΓ ΣΤΕΓΑΝ ΥΦΙΣΤ ΦΡΕΑΤ ΦΙΙΙ, ΦIV ή ΦV</t>
  </si>
  <si>
    <t>ΚΑΤ ΒΑΣΗΣ,ΤΟΠΟΘ ΚΑΜΠΙΝΑ &amp; ΧΩΡΙΣ ΗΛΕΚΤΡΟΔ</t>
  </si>
  <si>
    <t>1.2562.5   ΠΡΟΕΡΓ ΣΤΕΓΑΝΟΠΟΙΗΣΕΩΣ ΝΕΟΥ ΦΡΕΑΤΙΟΥ ΣΣ</t>
  </si>
  <si>
    <t>2501</t>
  </si>
  <si>
    <t>ΚΑΤΑΣΚΕΥΗ ΒΑΣΗΣ &amp; ΤΟΠΟΘΕΤΗΣΗ KV</t>
  </si>
  <si>
    <t>1.2562.6   ΠΡΟΕΡΓ ΣΤΕΓΑΝΟΠ ΝΕΟΥ ΦΡΕΑΤΙΟΥ ΦΙ ή ΦΙΑ</t>
  </si>
  <si>
    <t>1.2562.7   ΠΡΟΕΡΓ ΣΤΕΓΑΝΟΠ ΝΕΟΥ ΦΡΕΑΤΙΟΥ ΦΙΙ ή ΦΙΙΑ</t>
  </si>
  <si>
    <t>2510.1</t>
  </si>
  <si>
    <t>ΚΑΤΑΣ ΦΡΕΑΤΙΩΝ ΜΙΚΡΟΣΩΛ ΤΥΠ ΦΙ ΕΝΔΙΑΜΕΣΟ</t>
  </si>
  <si>
    <t>1.2562.8   ΠΡΟΕΡΓ ΣΤΕΓΑΝ ΝΕΟΥ ΦΡΕΑΤ  ΦΙΙΙ, ΦIV ή ΦV</t>
  </si>
  <si>
    <t>2510.10</t>
  </si>
  <si>
    <t>ΚΑΤΑΣΚ ΦΡΕΑΤΙΩΝ ΜΙΚΡΟΣΩΛΗΝΩΣΗΣ ΤΥΠΟΥ ΦV</t>
  </si>
  <si>
    <t>1.2566.1   ΣΦΡ ΔΙΑΤΟΜΗΣ Μ/Σ ΧΩΡ ΠΛ ΜΕ ΜΕΧΡΙ 4 Φ100</t>
  </si>
  <si>
    <t>2510.11</t>
  </si>
  <si>
    <t>ΚΑΤΑΣΚ ΦΡΕΑΤΙΩΝ ΜΙΚΡΟΣΩΛΗΝΩΣΗΣ ΤΥΠΟΥ ΦVI</t>
  </si>
  <si>
    <t>1.2566.2   ΣΦΡ ΔΙΑΤΟΜΗΣ Μ/Σ ΧΩΡ ΠΛ ΑΝΩ ΤΩΝ 4 Φ100</t>
  </si>
  <si>
    <t>2510.12</t>
  </si>
  <si>
    <t>ΚΑΤΑΣ ΦΡΕΑΤΙΩΝ ΜΙΚΡΟΣΩΛΗΝΩΣΗΣ ΤΥΠΟΥ ΦΙΙΑ</t>
  </si>
  <si>
    <t>1.2566.3   ΣΦΡΑΓΙΣΗ ΔΙΑΤ Μ/Σ ΚΑΤ Ι (Μ/Σ 3+2,0+4ΚΛΠ)</t>
  </si>
  <si>
    <t>2510.13</t>
  </si>
  <si>
    <t>ΚΑΤΑΣ ΦΡΕΑΤ ΜΙΚΡΟΣΩΛ ΤΥΠ ΦΙΙΑ/ΜΟΝΟ ΚΑΠ</t>
  </si>
  <si>
    <t>1.2566.4   ΣΦΡΑΓ ΔΙΑΤ Μ/Σ ΚΑΤ ΙΙ (Μ/Σ 3+4, 0+6 ΚΛΠ)</t>
  </si>
  <si>
    <t>2510.14</t>
  </si>
  <si>
    <t>ΚΑΤ ΦΡΕΑΤ Μ/Σ ΤΥΠ ΦΙΙΑ/ΜΟΝΟ ΚΑΠ ΧΩΡ ΣΤΟΜ</t>
  </si>
  <si>
    <t>1.2566.5   ΣΦΡΑΓ ΔΙΑΤ Μ/Σ ΚΑΤ ΙΙΙ (Μ/Σ 3+6, 0+8ΚΛΠ)</t>
  </si>
  <si>
    <t>2510.2</t>
  </si>
  <si>
    <t>ΚΑΤΑΣ ΦΡΕΑΤΙΩΝ ΜΙΚΡΟΣΩΛ ΤΥΠ ΦΙ ΟΡΘ ΓΩΝΙΑ</t>
  </si>
  <si>
    <t>1.2566.6   ΣΦΡΑΓ ΔΙΑΤ Μ/Σ ΚΑΤ ΙV (Μ/Σ 3+8 ΚΛΠ)</t>
  </si>
  <si>
    <t>2510.3</t>
  </si>
  <si>
    <t>ΚΑΤΑΣ ΦΡΕΑΤΙΩΝ ΜΙΚΡΟΣΩΛ ΤΥΠ ΦΙ ΑΜΒ ΓΩΝΙΑ</t>
  </si>
  <si>
    <t>1.2567.1   ΣΦΡΑΓΙΣΗ ΔΙΑΤΟΜΗΣ Μ/Τ ΔΙΑΤΟΜΗ Α , Α1, Α2</t>
  </si>
  <si>
    <t>2510.4</t>
  </si>
  <si>
    <t>ΚΑΤΑΣ ΦΡΕΑΤΙΩΝ ΜΙΚΡΟΣΩΛ ΤΥΠ ΦΙ ΔΙΑΚΛΑΔ</t>
  </si>
  <si>
    <t>1.2567.2   ΣΦΡΑΓΙΣΗ ΔΙΑΤΟΜΗΣ Μ/Τ ΔΙΑΤΟΜΗ Β , Β1</t>
  </si>
  <si>
    <t>2510.5</t>
  </si>
  <si>
    <t>ΚΑΤΑΣ ΦΡΕΑΤΙΩΝ ΜΙΚΡΟΣΩΛ ΤΥΠ ΦΙ ΔΙΑΣΤΑΥΡ</t>
  </si>
  <si>
    <t>2510.6</t>
  </si>
  <si>
    <t>ΚΑΤΑΣΚ ΦΡΕΑΤΙΩΝ ΜΙΚΡΟΣΩΛΗΝΩΣΗΣ ΤΥΠΟΥ ΦΙΑ</t>
  </si>
  <si>
    <t>1.2567.3   ΣΦΡΑΓΙΣΗ ΔΙΑΤΟΜΗΣ Μ/Τ ΔΙΑΤΟΜΗ Γ , Γ1</t>
  </si>
  <si>
    <t>2510.7</t>
  </si>
  <si>
    <t>ΚΑΤΑΣΚ ΦΡΕΑΤΙΩΝ ΜΙΚΡΟΣΩΛΗΝΩΣΗΣ ΤΥΠΟΥ ΦΙΙ</t>
  </si>
  <si>
    <t>1.2567.4   ΣΦΡΑΓΙΣΗ ΔΙΑΤΟΜΗΣ Μ/Τ ΔΙΑΤΟΜΗ Δ , Δ1</t>
  </si>
  <si>
    <t>2510.8</t>
  </si>
  <si>
    <t>ΚΑΤΑΣ ΦΡΕΑΤΙΩΝ ΜΙΚΡΟΣΩΛΗΝΩΣΗΣ ΤΥΠΟΥ ΦΙΙΙ</t>
  </si>
  <si>
    <t>1.2567.5   ΣΦΡΑΓΙΣΗ ΔΙΑΤΙΑΤΟΜΗΣ Μ/Τ ΔΙΑΤΟΜΗ Ε</t>
  </si>
  <si>
    <t>2510.9</t>
  </si>
  <si>
    <t>1.2567.6   ΣΦΡΑΓΙΣΗ ΔΙΑΤΟΜΗΣ Μ/Τ ΔΙΑΤΟΜΗ ΣΤ</t>
  </si>
  <si>
    <t>ΚΑΤΑΣΚ ΦΡΕΑΤΙΩΝ ΜΙΚΡΟΣΩΛΗΝΩΣΗΣ ΤΥΠΟΥ ΦΙV</t>
  </si>
  <si>
    <t>2515</t>
  </si>
  <si>
    <t>ΚΑΤΑΣΚ ΦΡΕΑΤ ΔΙΕΛΕΥΣΗΣ &amp; ΠΡΟΜΗΘ ΚΑΛΥΜΜΑΤ</t>
  </si>
  <si>
    <t>1.2582   ΔΙΑΝΟΙΞΗ ΟΠΗΣ&amp;ΔΙΑΜΟΡΦ ΣΤΟΜΙΟΥ ΣΕ ΦΡΕΑΤΙΟ</t>
  </si>
  <si>
    <t>2558</t>
  </si>
  <si>
    <t>ΣΤΕΓ ΦΡΕΑΤΙΩΝ-ΣΤΕΓΑΝΟΠΟΙΗΤΙΚΟ ΕΠΙΧΡΙΣΜΑ</t>
  </si>
  <si>
    <t>1.2586   ΑΠΟΣΥΝΘΕΣΗ ΥΠΑΡΧΟΥΣΑΣ ΤΣΙΜΕΝΤΟΣΩΛΗΝΩΣΕΩΣ</t>
  </si>
  <si>
    <t>2559</t>
  </si>
  <si>
    <t>ΣΤΕΓ ΦΡΕΑΤ-ΔΙΑΝΟΙΞΗ 2x2&amp;ΣΦΡΑΓΙΣΗ ΛΟΥΚΙΟΥ</t>
  </si>
  <si>
    <t>2560.1</t>
  </si>
  <si>
    <t>ΣΤΕΓ ΦΡΕΑΤΙΩΝ-ΣΦΡΑΓΙΣΗ ΜΗΝΙΣΚΩΝ</t>
  </si>
  <si>
    <t>1.2591   ΚΑΤΑΣΚΕΥΗ ΣΤΟΑΣ (ΜΠΟΥΚΑΣ)</t>
  </si>
  <si>
    <t>2560.2</t>
  </si>
  <si>
    <t>ΣΤΕΓ ΦΡΕΑΤΙΩΝ-ΣΦΡΑΓΙΣΗ ΟΠΗΣ</t>
  </si>
  <si>
    <t>2561</t>
  </si>
  <si>
    <t>ΣΤΕΓ ΦΡΕΑΤΙΩΝ-ΤΑΧΥΠΗΚΤΟ ΜΗ ΣΥΡΡΙΚΝΟΥΜ</t>
  </si>
  <si>
    <t>1.2592   ΚΑΤΑΣΚΕΥΗ  ΘΟΛΟΤΥΠΩΝ ΦΡΕΑΤΙΩΝ</t>
  </si>
  <si>
    <t>2562</t>
  </si>
  <si>
    <t>ΠΡΟΕΡΓ ΣΤΕΓΑΝ ΝΕΟΥ ΦΡΕΑΤ ΦΙΙΙ, ΦIV ή ΦV</t>
  </si>
  <si>
    <t>2563</t>
  </si>
  <si>
    <t>1.2594   ΑΠΟΤΟΠ-ΕΠΑΝΑΤ ΚΑΠΑΚΙ ΦΡΕΑΤ ΜΕ ΑΝΥΨ ΜΗΧΑΝ</t>
  </si>
  <si>
    <t>ΣΤΕΓΑΝ - ΕΠΙΧΡΙΣΗ ΠΥΘΜΕΝΑ ΦΡΕΑΤΙΩΝ</t>
  </si>
  <si>
    <t>1.2596   ΑΝΤΙΚ ΚΑΤΑΝ ΜΕ ΜΕΡΙΚΗ ΑΝΑΚΑΤ ΤΗΣ ΒΑΣΗΣ</t>
  </si>
  <si>
    <t>2564</t>
  </si>
  <si>
    <t>ΣΤΕΓ ΦΡΕΑΤΙΩΝ-ΤΑΧΥΠΗΚΤΟ ΔΙΟΓΚΟΥΜΕΝΟ</t>
  </si>
  <si>
    <t>1.2642   ΚΑΘΑΙΡΕΣΗ &amp; ΑΝΑΚΑΤΑΣΚΕΥΗ ΞΗΡΟΛΙΘΟΔΟΜΗΣ</t>
  </si>
  <si>
    <t>2565</t>
  </si>
  <si>
    <t>ΣΦΡ ΚΕΝ ΜΕ ΤΑΠΕΣ ΔΙΟΓ ΠΟΛΥΣ Φ40 ΈΩΣ Φ125</t>
  </si>
  <si>
    <t>1.2643   ΑΡΣΗ&amp;ΕΠΑΝΑΤ ΠΕΡΙΦΡΑΞΗΣ ΜΕ ΣΥΡΜΑΤΟΠΛΕΓΜΑ</t>
  </si>
  <si>
    <t>2570.1</t>
  </si>
  <si>
    <t>ΣΤΕΓ ΝΕΟ ΦΡΕΑΤ ΚΑΝΝΑΒ &amp; ΓΥΨΟΣ ΜΟΝΟ ΚΑΛΥΜ</t>
  </si>
  <si>
    <t>1.2645   ΔΙΑΓΡΑΜΜΙΣΗ  ΟΔΟΣΤΡΩΜΑΤΟΣ</t>
  </si>
  <si>
    <t>2570.2</t>
  </si>
  <si>
    <t>ΣΤΕΓ ΝΕΟ ΦΡΕΑΤ ΚΑΝΝΑΒ &amp; ΓΥΨΟΣ ΔΙΠΛ ΚΑΛΥΜ</t>
  </si>
  <si>
    <t>1.2691   ΚΑΤΚ ΕΠΕΝΔ ΤΦΡ ΟΜΒΡ ΥΔ ΣΚΥΡΟΔC12/15,15cm</t>
  </si>
  <si>
    <t>2570.3</t>
  </si>
  <si>
    <t>ΣΤΕΓ ΝΕΟ ΦΡΕΑΤ ΚΑΝΝΑΒ &amp; ΣΙΛΙΚ ΜΟΝΟ ΚΑΛΥΜ</t>
  </si>
  <si>
    <t>1.3061   ΠΡΟΜΗΘΕΙΑ &amp; ΤΟΠΟΘΕΤΗΣΗ ΣΥΡΜΑΤΟΠΛΕΓΜΑΤΟΣ</t>
  </si>
  <si>
    <t>2570.4</t>
  </si>
  <si>
    <t>ΣΤΕΓ ΝΕΟ ΦΡΕΑΤ ΚΑΝΝΑΒ &amp; ΣΙΛΙΚ ΔΙΠΛ ΚΑΛΥΜ</t>
  </si>
  <si>
    <t>1.3221   ΤΟΠΟΘΕΤΗΣΗ ΚΑΛΩΔΙΟΣΗΜΟΥ ΟΤΕ</t>
  </si>
  <si>
    <t>2571.1</t>
  </si>
  <si>
    <t>ΣΤΕΓ ΥΦ ΦΡΕΑΤ ΚΑΝΝΑΒΙΣ &amp; ΓΥΨΟ ΜΟΝΟ ΚΑΛΥΜ</t>
  </si>
  <si>
    <t>1.3222   ΚΑΤΑΣΚ &amp;ΤΟΠΟΘ ΚΑΛΩΔΙΟΣΗΜΟΥ ΠΡΟΔΙΑΓΡ ΟΤΕ</t>
  </si>
  <si>
    <t>2571.2</t>
  </si>
  <si>
    <t>ΣΤΕΓ ΥΦ ΦΡΕΑΤ ΚΑΝΝΑΒΙΣ &amp; ΓΥΨΟ ΔΙΠΛ ΚΑΛΥΜ</t>
  </si>
  <si>
    <t>1.3155   ΚΟΠΗ ΠΛΑΣΤ ΣΩΛΗΝΩΝ &amp; ΤΟΠΟΘΕΤ ΣΕ ΤΑΦΡΟΥΣ</t>
  </si>
  <si>
    <t>2571.3</t>
  </si>
  <si>
    <t>ΣΤΕΓ ΥΦ ΦΡΕΑΤ ΚΑΝΝΑΒΙ&amp;ΣΙΛΙΚΟΝ ΜΟΝΟ ΚΑΛΥΜ</t>
  </si>
  <si>
    <t>1.4011.1   ΚΑΤΑΣΚ ΣΥΝΔ Φ0,8/9 ΜΕ ΧΡΗΣΗ ΜΗΧ ΣΥΝΔ 10'</t>
  </si>
  <si>
    <t>2571.4</t>
  </si>
  <si>
    <t>ΣΤΕΓ ΥΦ ΦΡΕΑΤ ΚΑΝΝΑΒΙ&amp;ΣΙΛΙΚΟΝ ΔΙΠΛ ΚΑΛΥΜ</t>
  </si>
  <si>
    <t>2581</t>
  </si>
  <si>
    <t>ΔΙΑΝΟΙΞΗ ΟΠΗΣ ΣΕ ΦΡΕΑΤΙΟ</t>
  </si>
  <si>
    <t>1.4011.2   ΚΑΤΑΣΚ ΣΥΝΔ Φ0,8/9 ΜΕ ΧΡΗΣΗ ΜΗΧ ΣΥΝΔ 20'</t>
  </si>
  <si>
    <t>2585</t>
  </si>
  <si>
    <t>ΑΠΟΣΥΝΘ ΦΡΕΑΤ ή ΣΩΛΗΝ &amp;ΣΚΥΡΟΔ ΟΠΟΙΑΔ ΚΑΤ</t>
  </si>
  <si>
    <t>1.4011.3   ΚΑΤΑΣΚ ΣΥΝΔ Φ0,8/9 ΜΕ ΧΡΗΣΗ ΜΗΧ ΣΥΝΔ 30'</t>
  </si>
  <si>
    <t>2587</t>
  </si>
  <si>
    <t>ΑΠΟΞΗΛΩΣΗ ΧΥΤΟΣΙΔΗΡΗΣ ΒΑΣΕΩΣ ΚΑΛΥΜΑΤΟΣ</t>
  </si>
  <si>
    <t>1.4011.4   ΚΑΤΑΣΚ ΣΥΝΔ Φ0,8/9 ΜΕ ΧΡΗΣΗ ΜΗΧ ΣΥΝΔ 40'</t>
  </si>
  <si>
    <t>2593</t>
  </si>
  <si>
    <t>ΑΝΑΒΙΒΑΣΜΟΣ ή ΚΑΤΑΒΙΒΑΣΜ ΛΑΙΜΟΥ ΦΡΕΑΤΙΩΝ</t>
  </si>
  <si>
    <t>1.4011.5   ΚΑΤΑΣΚ ΣΥΝΔ Φ0,8/9 ΜΕ ΧΡΗΣΗ ΜΗΧ ΣΥΝΔ 50'</t>
  </si>
  <si>
    <t>2595</t>
  </si>
  <si>
    <t>ΑΠΟΣΥΝΘΕΣΗ ΒΑΣΗΣ ΚΑΤΑΝΕΜΗΤΗ KV</t>
  </si>
  <si>
    <t>1.4011.6   ΚΑΤΑΣΚ ΣΥΝΔ Φ0,8/9 ΜΕ ΧΡΗΣΗ ΜΗΧ ΣΥΝΔ 70'</t>
  </si>
  <si>
    <t>2597.1</t>
  </si>
  <si>
    <t>ΤΟΠΟΘ ΒΑΣΗΣ &amp; ΚΑΛΥΜ ΦΡΕΑΤΙΟΥ ΣΣ</t>
  </si>
  <si>
    <t>1.4011.7   ΚΑΤΑΣ ΣΥΝΔ Φ0,8/9 ΜΕ ΧΡΗΣΗ ΜΗΧ ΣΥΝΔ 100'</t>
  </si>
  <si>
    <t>2597.2</t>
  </si>
  <si>
    <t>ΤΟΠΟΘ ΒΑΣΗΣ &amp; ΚΑΛΥΜ ΦΡΕΑΤΙΟΥ Μ/Σ (ΜΟΝΟ)</t>
  </si>
  <si>
    <t>1.4011.8   ΚΑΤΑΣ ΣΥΝΔ Φ0,8/9 ΜΕ ΧΡΗΣΗ ΜΗΧ ΣΥΝΔ 120'</t>
  </si>
  <si>
    <t>2597.3</t>
  </si>
  <si>
    <t>1.4011.9   ΚΑΤΑΣ ΣΥΝΔ Φ0,8/9 ΜΕ ΧΡΗΣΗ ΜΗΧ ΣΥΝΔ 150'</t>
  </si>
  <si>
    <t>ΤΟΠΟΘ.ΒΑΣΗΣ &amp; ΚΑΛΥΜ ΦΡΕΑΤΙΟΥ Μ/Σ (ΔΙΠΛΟ)</t>
  </si>
  <si>
    <t>1.4011.10   ΚΑΤΑΣ ΣΥΝΔ Φ0,8/9 ΜΕ ΧΡΗΣΗ ΜΗΧ ΣΥΝΔ 200'</t>
  </si>
  <si>
    <t>2598</t>
  </si>
  <si>
    <t>1.4011.11   ΚΑΤΑΣ ΣΥΝΔ Φ0,8/9 ΜΕ ΧΡΗΣΗ ΜΗΧ ΣΥΝΔ 250'</t>
  </si>
  <si>
    <t>ΤΟΠΟΘΕΤΗΣΗ ΤΡΑΒΕΡΣΑΣ ΦΡΕΑΤΙΟΥ</t>
  </si>
  <si>
    <t>1.4011.12   ΚΑΤΑΣ ΣΥΝΔ Φ0,8/9 ΜΕ ΧΡΗΣΗ ΜΗΧ ΣΥΝΔ 300'</t>
  </si>
  <si>
    <t>2600</t>
  </si>
  <si>
    <t>ΤΟΠΟΘΕΤΗΣΗ ΓΑΝΤΖΟΥ ΣΤΕΡΕΩΣΗΣ ΕΝΤΟΣ ΦΡΕΑΤ</t>
  </si>
  <si>
    <t>1.4011.13   ΚΑΤΑΣ ΣΥΝΔ Φ0,8/9 ΜΕ ΧΡΗΣΗ ΜΗΧ ΣΥΝΔ 350'</t>
  </si>
  <si>
    <t>1.4011.14   ΚΑΤΑΣ ΣΥΝΔ Φ0,8/9 ΜΕ ΧΡΗΣΗ ΜΗΧ ΣΥΝΔ 400'</t>
  </si>
  <si>
    <t>2601</t>
  </si>
  <si>
    <t>ΔΙΑΝΟΙΞΗ ΟΠΗΣ ΣΕ ΤΟΙΧΟΠΟΙΙΑ</t>
  </si>
  <si>
    <t>1.4011.15   ΚΑΤΑΣ ΣΥΝΔ Φ0,8/9 ΜΕ ΧΡΗΣΗ ΜΗΧ ΣΥΝΔ 500'</t>
  </si>
  <si>
    <t>2602</t>
  </si>
  <si>
    <t>ΑΠΟΚΑΤΑΣΤ ΤΟΙΧΟΠΟΙΪΑΣ ΚΑΤΟΠΙΝ ΑΠΟΞΗΛ KV</t>
  </si>
  <si>
    <t>1.4011.16   ΚΑΤΑΣ ΣΥΝΔ Φ0,8/9 ΜΕ ΧΡΗΣΗ ΜΗΧ ΣΥΝΔ 600'</t>
  </si>
  <si>
    <t>2616</t>
  </si>
  <si>
    <t>ΔΙΑΜΟΡΦΩΣΗ ΡΙΧΤΙΟΥ ΒΑΘΜΙΔΑΣ</t>
  </si>
  <si>
    <t>1.4011.17   ΚΑΤΑΣ ΣΥΝΔ Φ0,8/9 ΜΕ ΧΡΗΣΗ ΜΗΧ ΣΥΝΔ 750'</t>
  </si>
  <si>
    <t>2621</t>
  </si>
  <si>
    <t>ΚΑΘΑΙΡ/ΑΝΑΚΑΤ ΣΚΑΛΟΠΑΤΙΩΝ ΑΠΟ ΣΚΥΡΟΔΕΜΑ</t>
  </si>
  <si>
    <t>1.4021.1   ΚΑΤΑΣΚ ΣΥΝΔ Φ0,9 ΜΕ ΧΡΗΣΗ ΑΤΟΜ ΣΥΝΔ 20''</t>
  </si>
  <si>
    <t>2631</t>
  </si>
  <si>
    <t>ΑΡΣΗ &amp; ΕΠΑΝΑΤΟΠΟΘ ΟΛΟΣΩΜ ΒΑΘΜΙΔΩΝ/ΚΡΑΣΠ</t>
  </si>
  <si>
    <t>1.4021.2   ΚΑΤΑΣΚ ΣΥΝΔ Φ0,9 ΜΕ ΧΡΗΣΗ ΑΤΟΜ ΣΥΝΔ 30'</t>
  </si>
  <si>
    <t>2632</t>
  </si>
  <si>
    <t>ΑΡΣΗ &amp; ΕΠΑΝΑΤ/ΣΗ ή ΞΕΤΡΥΠΗΜΑ ΦΡ ΥΔΡΟΜΕΤΡ</t>
  </si>
  <si>
    <t>1.4021.3   ΚΑΤΑΣΚ ΣΥΝΔ Φ0,9 ΜΕ ΧΡΗΣΗ ΑΤΟΜ ΣΥΝΔ 40''</t>
  </si>
  <si>
    <t>2650</t>
  </si>
  <si>
    <t>ΑΝΤΛΗΣΗ ΥΔΑΤΩΝ ΜΕ ΑΝΤΛΙΑ</t>
  </si>
  <si>
    <t>1.4021.4   ΚΑΤΑΣΚ ΣΥΝΔ Φ0,9 ΜΕ ΧΡΗΣΗ ΑΤΟΜ ΣΥΝΔ 50'</t>
  </si>
  <si>
    <t>2655.1</t>
  </si>
  <si>
    <t>ΚΑΘΑΡΙΣΜΟΣ ΥΦΙΣΤ ΦΡΕΑΤΙΟΥ ΣΤΕΓ ΣΩΛΗΝΩΣΗΣ</t>
  </si>
  <si>
    <t>1.4021.5   ΚΑΤΑΣΚ ΣΥΝΔ Φ0,9 ΜΕ ΧΡΗΣΗ ΑΤΟΜ ΣΥΝΔ 70''</t>
  </si>
  <si>
    <t>2655.2</t>
  </si>
  <si>
    <t>ΚΑΘΑΡΙΣΜΟΣ ΥΦΙΣΤ ΦΡΕΑΤΙΟΥ ΜΙΚΡΟΣΩΛΗΝΩΣΗΣ</t>
  </si>
  <si>
    <t>1.4021.6   ΚΑΤΑΣΚ ΣΥΝΔ Φ0,9 ΜΕ ΧΡΗΣΗ ΑΤΟΜ ΣΥΝΔ 100'</t>
  </si>
  <si>
    <t>2657.1</t>
  </si>
  <si>
    <t>1.4021.7   ΚΑΤΑΣΚ ΣΥΝΔ Φ0,9 ΜΕ ΧΡΗΣΗ ΑΤΟΜ ΣΥΝΔ 150'</t>
  </si>
  <si>
    <t>ΑΝΤΛ ΑΣΤ ΛΥΜΑΤΩΝ &amp;ΚΑΘΑΡ ΦΡΕΑΤ 8:00-24.00</t>
  </si>
  <si>
    <t>2657.2</t>
  </si>
  <si>
    <t>ΑΝΤΛ ΑΣΤ ΛΥΜΑΤΩΝ &amp;ΚΑΘΑΡ ΦΡΕΑΤ 00:00-8.00</t>
  </si>
  <si>
    <t>1.4111.1   ΚΑΤΑΣΚ ΣΥΝΔ Φ0,8/9 ΟΠΛ ΚΑΛ ΜΗΧ ΣΥΝΔ 10''</t>
  </si>
  <si>
    <t>2693</t>
  </si>
  <si>
    <t>ΑΝΤΙΚ ΕΞΩΤ ΠΕΡΙΒΛΗΜΑ ΥΠΑΙΘΡ ΚΑΜΠΙΝΑΣ ΟΔΠ</t>
  </si>
  <si>
    <t>3001</t>
  </si>
  <si>
    <t>ΤΟΠΟΘΕΤΗΣΗ-ΑΜΜΟΣ ΕΓΚΙΒΩΤΙΣΜΟΥ ΚΑΛΩΔΙΩΝ</t>
  </si>
  <si>
    <t>1.4111.2   ΚΑΤΑΣΚ ΣΥΝΔ Φ0,8/9 ΟΠΛ ΚΑΛ ΜΗΧ ΣΥΝΔ 20''</t>
  </si>
  <si>
    <t>3005</t>
  </si>
  <si>
    <t>ΤΟΠΟΘ-ΤΟΥΒΛΑ ΕΠΙΣΗΜ ΚΑΛΩΔ ΜΠΑΤΙΚΗ ΣΕΙΡΑ</t>
  </si>
  <si>
    <t>3042</t>
  </si>
  <si>
    <t>ΤΟΠΟΘ ΠΛΕΓΜΑΤΟΣ ΠΟΛΥΑΙΘΥΛ ΣΕ ΚΑΛ ΤΑΦΡΟ</t>
  </si>
  <si>
    <t>1.4111.3   ΚΑΤΑΣΚ ΣΥΝΔ Φ0,8/9 ΟΠΛ ΚΑΛ ΜΗΧ ΣΥΝΔ 30''</t>
  </si>
  <si>
    <t>3051</t>
  </si>
  <si>
    <t>ΤΟΠΟΘΕΤΗΣΗ ΣΥΡΜΑΤΟΣΧΟΙΝΟΥ  ΓΕΙΩΣΕΩΣ</t>
  </si>
  <si>
    <t>1.4111.4   ΚΑΤΑΣΚ ΣΥΝΔ Φ0,8/9 ΟΠΛ ΚΑΛ ΜΗΧ ΣΥΝΔ 40''</t>
  </si>
  <si>
    <t>ΤΟΠ ΜΕΜΟΝΟΜΕΝΩΝ ΠΛ ΣΩΛ &amp; ΑΝΤΛΗΣΗ ΥΔΑΤΩΝ</t>
  </si>
  <si>
    <t>1.4111.5   ΚΑΤΑΣΚ ΣΥΝΔ Φ0,8/9 ΟΠΛ ΚΑΛ ΜΗΧ ΣΥΝΔ 50''</t>
  </si>
  <si>
    <t>3106.2</t>
  </si>
  <si>
    <t>ΤΟΠ ΟΜΑΔ ΠΛ ΣΩΛ &amp; ΑΝΤΛΗΣΗ ΥΔΑΤΩΝ</t>
  </si>
  <si>
    <t>1.4111.6   ΚΑΤΑΣΚ ΣΥΝΔ Φ0,8/9 ΟΠΛ ΚΑΛ ΜΗΧ ΣΥΝΔ 70''</t>
  </si>
  <si>
    <t>3110.1</t>
  </si>
  <si>
    <t>ΤΟΠ ΜΕΜΟΝΟΜ ΠΛ ΣΩΛ ή ΠΟΛΥΣΩΛ ΣΕ ΤΑΦΡΟΥΣ</t>
  </si>
  <si>
    <t>1.4111.7   ΚΑΤΑΣΚ ΣΥΝΔ Φ0,8/9 ΟΠΛ ΚΑΛ ΜΗΧ ΣΥΝΔ 100'</t>
  </si>
  <si>
    <t>3110.2</t>
  </si>
  <si>
    <t>ΤΟΠ ΟΜΑΔΟΠ ΠΛ ΣΩΛ ή ΠΟΛΥΣΩΛ ΣΕ ΤΑΦΡΟΥΣ</t>
  </si>
  <si>
    <t>1.4111.8   ΚΑΤΑΣΚ ΣΥΝΔ Φ0,8/9 ΟΠΛ ΚΑΛ ΜΗΧ ΣΥΝΔ 120'</t>
  </si>
  <si>
    <t>3111.1</t>
  </si>
  <si>
    <t>ΠΡΟΜ/ΤΟΠ PE ΣΩΛ ΣΕ ΤΑΦΡΟΥΣ Φ90MM, 6AT</t>
  </si>
  <si>
    <t>1.4111.9   ΚΑΤΑΣΚ ΣΥΝΔ Φ0,8/9 ΟΠΛ ΚΑΛ ΜΗΧ ΣΥΝΔ 150'</t>
  </si>
  <si>
    <t>3111.2</t>
  </si>
  <si>
    <t>ΠΡΟΜ/ΤΟΠ PE ΣΩΛ ΣΕ ΤΑΦΡΟΥΣ Φ110MM, 10AT</t>
  </si>
  <si>
    <t>1.4111.10   ΚΑΤΑΣΚ ΣΥΝΔ Φ0,8/9 ΟΠΛ ΚΑΛ ΜΗΧ ΣΥΝΔ 200'</t>
  </si>
  <si>
    <t>3131.1</t>
  </si>
  <si>
    <t>ΤΟΠ PVC ή ΡΕ ΣΩΛ ΣΕ ΤΑΦΡΟ ΧΩΡΙΣ ΠΛΑΙΣΙΑ</t>
  </si>
  <si>
    <t>1.4111.11   ΚΑΤΑΣΚ ΣΥΝΔ Φ0,8/9 ΟΠΛ ΚΑΛ ΜΗΧ ΣΥΝΔ 250'</t>
  </si>
  <si>
    <t>1.4111.12   ΚΑΤΑΣΚ ΣΥΝΔ Φ0,8/9 ΟΠΛ ΚΑΛ ΜΗΧ ΣΥΝΔ 300'</t>
  </si>
  <si>
    <t>3131.2</t>
  </si>
  <si>
    <t>ΤΟΠ PVC ή ΡΕ ΣΩΛ ΣΕ ΤΑΦΡΟ ΜΕ ΠΛΑΙΣΙΑ</t>
  </si>
  <si>
    <t>1.4111.13   ΚΑΤΑΣΚ ΣΥΝΔ Φ0,8/9 ΟΠΛ ΚΑΛ ΜΗΧ ΣΥΝΔ 350'</t>
  </si>
  <si>
    <t>3161</t>
  </si>
  <si>
    <t>ΠΡΟΜΗΘΕΙΑ &amp; ΤΟΠΟΘ ΠΛΑΣΤ ΣΩΛ ΑΠΟΧΕΥΤΕΥΣΗΣ</t>
  </si>
  <si>
    <t>1.4111.14   ΚΑΤΑΣΚ ΣΥΝΔ Φ0,8/9 ΟΠΛ ΚΑΛ ΜΗΧ ΣΥΝΔ 400'</t>
  </si>
  <si>
    <t>3170.1</t>
  </si>
  <si>
    <t>ΠΡΟΜ&amp;ΤΟΠΟΘ ΣΙΔΗΡΟΣ ΓΑΛΒ ΤΟΠ ΟΔ ΔΙΑΜ 3/4'</t>
  </si>
  <si>
    <t>1.4111.15   ΚΑΤΑΣΚ ΣΥΝΔ Φ0,8/9 ΟΠΛ ΚΑΛ ΜΗΧ ΣΥΝΔ 500'</t>
  </si>
  <si>
    <t>3170.2</t>
  </si>
  <si>
    <t>ΠΡΟΜ&amp;ΤΟΠ ΣΙΔΗΡΟΣ ΓΑΛΒ ΤΟΠ ΟΔ.ΔΙΑΜ 1 1/2'</t>
  </si>
  <si>
    <t>1.4111.16   ΚΑΤΑΣΚ ΣΥΝΔ Φ0,8/9 ΟΠΛ ΚΑΛ ΜΗΧ ΣΥΝΔ 600'</t>
  </si>
  <si>
    <t>3171.1</t>
  </si>
  <si>
    <t>ΠΡΟΜ &amp; ΤΟΠΟΘ.ΣΙΔΗΡΟΣΩΛ ΓΑΛΒΑΝΙΖΕ ΔΙΑΜ 2'</t>
  </si>
  <si>
    <t>1.4111.17   ΚΑΤΑΣΚ ΣΥΝΔ Φ0,8/9 ΟΠΛ ΚΑΛ ΜΗΧ ΣΥΝΔ 750'</t>
  </si>
  <si>
    <t>3171.2</t>
  </si>
  <si>
    <t>ΠΡΟΜ &amp; ΤΟΠΟΘ ΣΙΔΗΡΟΣΩΛ ΓΑΛΒΑΝΙΖΕ ΔΙΑΜ 3'</t>
  </si>
  <si>
    <t>3171.3</t>
  </si>
  <si>
    <t>ΠΡΟΜ &amp; ΤΟΠΟΘ ΣΙΔΗΡΟΣΩΛ ΓΑΛΒΑΝΙΖΕ ΔΙΑΜ 4'</t>
  </si>
  <si>
    <t>1.4121.1   ΚΑΤΑΣΚ ΣΥΝΔ Φ0,9 ΟΠΛ ΚΑΛ ΑΤΟΜ ΣΥΝΔ 20''</t>
  </si>
  <si>
    <t>3172.1</t>
  </si>
  <si>
    <t>ΠΡΟΜ &amp;ΤΟΠ ΣΙΔΗΡΟΣ ΓΑΛΒ ΔΥΣΜ ΣΥΝΘ ΔΙΑΜ 2'</t>
  </si>
  <si>
    <t>1.4121.2   ΚΑΤΑΣΚ ΣΥΝΔ Φ0,9 ΟΠΛ ΚΑΛ ΑΤΟΜ ΣΥΝΔ 30''</t>
  </si>
  <si>
    <t>3172.2</t>
  </si>
  <si>
    <t>ΠΡΟΜ &amp;ΤΟΠ ΣΙΔΗΡΟΣ ΓΑΛΒ ΔΥΣΜ ΣΥΝΘ ΔΙΑΜ 3'</t>
  </si>
  <si>
    <t>3172.3</t>
  </si>
  <si>
    <t>ΠΡΟΜ &amp;ΤΟΠ ΣΙΔΗΡΟΣ ΓΑΛΒ ΔΥΣΜ ΣΥΝΘ ΔΙΑΜ 4'</t>
  </si>
  <si>
    <t>1.4121.3   ΚΑΤΑΣΚ ΣΥΝΔ Φ0,9 ΟΠΛ ΚΑΛ ΑΤΟΜ ΣΥΝΔ 40''</t>
  </si>
  <si>
    <t>3173.1</t>
  </si>
  <si>
    <t>ΠΡΟΜ&amp;ΤΟΠ ΣΙΔΗΡΟΣ ΓΑΛΒ ΒΑΡΕΩΣ ΤΥΠ ΔΙΑΜ 2'</t>
  </si>
  <si>
    <t>1.4121.4   ΚΑΤΑΣΚ ΣΥΝΔ Φ0,9 ΟΠΛ ΚΑΛ ΑΤΟΜ ΣΥΝΔ 50''</t>
  </si>
  <si>
    <t>3173.2</t>
  </si>
  <si>
    <t>ΠΡΟΜ&amp;ΤΟΠ ΣΙΔΗΡΟΣ ΓΑΛΒ ΒΑΡΕΩΣ ΤΥΠ ΔΙΑΜ 3'</t>
  </si>
  <si>
    <t>1.4121.5   ΚΑΤΑΣΚ ΣΥΝΔ Φ0,9 ΟΠΛ ΚΑΛ ΑΤΟΜ ΣΥΝΔ 70''</t>
  </si>
  <si>
    <t>3173.3</t>
  </si>
  <si>
    <t>ΠΡΟΜ&amp;ΤΟΠ ΣΙΔΗΡΟΣ ΓΑΛΒ ΒΑΡΕΩΣ ΤΥΠ ΔΙΑΜ 4'</t>
  </si>
  <si>
    <t>1.4121.6   ΚΑΤΑΣΚ ΣΥΝΔ Φ0,9 ΟΠΛ ΚΑΛ ΑΤΟΜ ΣΥΝΔ 100''</t>
  </si>
  <si>
    <t>3174</t>
  </si>
  <si>
    <t>1.4121.7   ΚΑΤΑΣΚ ΣΥΝΔ Φ0,9 ΟΠΛ ΚΑΛ ΑΤΟΜ ΣΥΝΔ 150''</t>
  </si>
  <si>
    <t>ΠΡΟΜ&amp;ΤΟΠ ΣΙΔΗΡΟΣΩ ΓΑΛΒ 4''-4m &amp; 3/4''-3m</t>
  </si>
  <si>
    <t>1.4201.1   ΚΑΤΑΣΚ ΣΥΝΔΕΣΜΩΝ ΕΝΑΕΡ ΚΑΛ ΣΧ 8 / 2' ή4'</t>
  </si>
  <si>
    <t>3191.1</t>
  </si>
  <si>
    <t>1.4201.2   ΚΑΤΑΣΚ ΣΥΝΔΕΣΜΩΝ ΕΝΑΕΡΙΩΝ  ΚΑΛ ΣΧ 8 / 6'</t>
  </si>
  <si>
    <t>ΚΑΤΑΣ&amp;ΤΟΠ ΣΙΔΗΡΟΚ ΔΙΑΤ 150Χ100&amp;150Χ150MM</t>
  </si>
  <si>
    <t>1.4201.3   ΚΑΤΑΣΚ ΣΥΝΔΕΣΜΩΝ ΕΝΑΕΡΙΩΝ  ΚΑΛ ΣΧ 8 /10'</t>
  </si>
  <si>
    <t>3191.3</t>
  </si>
  <si>
    <t>ΚΑΤΑΣ&amp;ΤΟΠ ΣΙΔΗΡΟΚ ΔΙΑΤ 200Χ200&amp;250Χ250MM</t>
  </si>
  <si>
    <t>1.4201.4   ΚΑΤΑΣΚ ΣΥΝΔΕΣΜΩΝ ΕΝΑΕΡΙΩΝ  ΚΑΛ ΣΧ 8 /20'</t>
  </si>
  <si>
    <t>3201</t>
  </si>
  <si>
    <t>1.4201.5   ΚΑΤΑΣΚ ΣΥΝΔΕΣΜΩΝ ΕΝΑΕΡΙΩΝ  ΚΑΛ ΣΧ 8 /30'</t>
  </si>
  <si>
    <t>ΤΟΠΟΘ  ΣΙΔΗΡΟΣΩΛΗΝΑ ΑΝΥΨΩΣΕΩΣ ΚΑΛΩΔΙΟΥ</t>
  </si>
  <si>
    <t>1.4201.6   ΚΑΤΑΣΚ ΣΥΝΔΕΣΜΩΝ ΕΝΑΕΡΙΩΝ  ΚΑΛ ΣΧ 8 /40'</t>
  </si>
  <si>
    <t>3231.1</t>
  </si>
  <si>
    <t>ΤΟΠΟΘΕΤΗΣΗ ΞΥΛΙΝΟΥ ΣΤΥΛΟΥ ΥΨΟΥΣ 7,00Μ</t>
  </si>
  <si>
    <t>1.4201.7   ΚΑΤΑΣΚ ΣΥΝΔΕΣΜΩΝ ΕΝΑΕΡΙΩΝ  ΚΑΛ ΣΧ 8 /50'</t>
  </si>
  <si>
    <t>3231.2</t>
  </si>
  <si>
    <t>ΤΟΠΟΘΕΤΗΣΗ ΞΥΛΙΝΟΥ ΣΤΥΛΟΥ ΥΨΟΥΣ 8,00Μ</t>
  </si>
  <si>
    <t>1.4201.8   ΚΑΤΑΣΚ ΣΥΝΔΕΣΜΩΝ ΕΝΑΕΡΙΩΝ  ΚΑΛ ΣΧ 8 /70'</t>
  </si>
  <si>
    <t>3232.1</t>
  </si>
  <si>
    <t>ΑΦΑΙΡ.ΞΥΛΙΝΟΥ ΣΤΥΛΟΥ ΜΕ ΕΚΣΚΑΦΗ ΥΨ 7,00Μ</t>
  </si>
  <si>
    <t>3232.2</t>
  </si>
  <si>
    <t>1.4201.9   ΚΑΤΑΣ ΣΥΝΔΕΣΜΩΝ ΕΝΑΕΡΙΩΝ  ΚΑΛ ΣΧ 8 /100'</t>
  </si>
  <si>
    <t>ΑΦΑΙΡ.ΞΥΛΙΝΟΥ ΣΤΥΛΟΥ ΜΕ ΕΚΣΚΑΦΗ ΥΨ 8,00Μ</t>
  </si>
  <si>
    <t>1.4201.10   ΚΑΤΑΣ ΣΥΝΔΕΣΜΩΝ ΕΝΑΕΡΙΩΝ  ΚΑΛ ΣΧ 8 /150'</t>
  </si>
  <si>
    <t>3233.1</t>
  </si>
  <si>
    <t>ΑΦΑΙΡ ΞΥΛΙΝΟΥ ΣΤΥΛΟΥ ΜΕ ΚΟΠΗ ΥΨΟΥΣ 7,00Μ</t>
  </si>
  <si>
    <t>3233.2</t>
  </si>
  <si>
    <t>1.4301.1   ΚΑΤ ΤΕΡΜ ΣΥΝ ΚΑΛ ΣΩΛ/ΥΠ ΜΕ ΚΑΛ ΤΕΡ ΓΚ50'</t>
  </si>
  <si>
    <t>ΑΦΑΙΡ ΞΥΛΙΝΟΥ ΣΤΥΛΟΥ ΜΕ ΚΟΠΗ ΥΨΟΥΣ 8,00Μ</t>
  </si>
  <si>
    <t>1.4301.2   ΚΑΤ ΤΕΡΜ ΣΥΝ ΚΑΛ ΣΩΛ/ΥΠ ΜΕ ΚΑΛ ΤΕΡ ΓΚ70'</t>
  </si>
  <si>
    <t>3234</t>
  </si>
  <si>
    <t>ΔΙΕΥΘΕΤΗΣΗ ΣΤΥΛΟΥ</t>
  </si>
  <si>
    <t>1.4301.3   ΚΑΤ ΤΕΡ ΣΥΝ ΚΑΛ ΣΩΛ/ΥΠ ΜΕ ΚΑΛ ΤΕΡ ΓΚ100'</t>
  </si>
  <si>
    <t>3236</t>
  </si>
  <si>
    <t>ΜΕΤΑΤΟΠΙΣΗ ΣΤΥΛΟΥ ΑΝΕΞΑΡΤΗΤΩΣ ΥΨΟΥΣ</t>
  </si>
  <si>
    <t>1.4301.4   ΚΑΤ ΤΕΡ ΣΥΝ ΚΑΛ ΣΩΛ/ΥΠ ΜΕ ΚΑΛ ΤΕΡ ΓΚ120'</t>
  </si>
  <si>
    <t>3241.1</t>
  </si>
  <si>
    <t>ΤΟΠΟΘΕΤΗΣΗ ΡΑΒΔΟΥ ΕΠΙΤΟΝΟΥ Α ΜΕΓΕΘΟΥΣ</t>
  </si>
  <si>
    <t>1.4301.5   ΚΑΤ ΤΕΡ ΣΥΝ ΚΑΛ ΣΩΛ/ΥΠ ΜΕ ΚΑΛ ΤΕΡ ΓΚ150'</t>
  </si>
  <si>
    <t>3241.2</t>
  </si>
  <si>
    <t>ΤΟΠΟΘΕΤΗΣΗ ΡΑΒΔΟΥ ΕΠΙΤΟΝΟΥ Β ΜΕΓΕΘΟΥΣ</t>
  </si>
  <si>
    <t>1.4301.6   ΚΑΤ ΤΕΡ ΣΥΝ ΚΑΛ ΣΩΛ/ΥΠ ΜΕ ΚΑΛ ΤΕΡ ΓΚ200'</t>
  </si>
  <si>
    <t>1.4301.7   ΚΑΤ ΤΕΡ ΣΥΝ ΚΑΛ ΣΩΛ/ΥΠ ΜΕ ΚΑΛ ΤΕΡ ΓΚ250'</t>
  </si>
  <si>
    <t>3243</t>
  </si>
  <si>
    <t>ΠΡΟΣΔΕΣΗ ΕΠΙΤΟΝΟΥ ΣΕ ΣΤΕΛΕΧΟΣ Η ΘΗΛΕΙΑ</t>
  </si>
  <si>
    <t>1.4301.8   ΚΑΤ ΤΕΡ ΣΥΝ ΚΑΛ ΣΩΛ/ΥΠ ΜΕ ΚΑΛ ΤΕΡ ΓΚ300'</t>
  </si>
  <si>
    <t>1.4301.9   ΚΑΤ ΤΕΡ ΣΥΝ ΚΑΛ ΣΩΛ/ΥΠ ΜΕ ΚΑΛ ΤΕΡ ΓΚ350'</t>
  </si>
  <si>
    <t>3245</t>
  </si>
  <si>
    <t>ΚΑΤΑΣΚΕΥΗ ΕΠΙΤΟΝΟΥ ΣΕ ΣΤΥΛΟ</t>
  </si>
  <si>
    <t>1.4301.10   ΚΑΤ ΤΕΡ ΣΥΝ ΚΑΛ ΣΩΛ/ΥΠ ΜΕ ΚΑΛ ΤΕΡ ΓΚ400'</t>
  </si>
  <si>
    <t>3246</t>
  </si>
  <si>
    <t>ΑΦΑΙΡΕΣΗ ΕΠΙΤΟΝΟΥ ΑΠΟ ΣΤΥΛΟ</t>
  </si>
  <si>
    <t>1.4301.11   ΚΑΤ ΤΕΡ ΣΥΝ ΚΑΛ ΣΩΛ/ΥΠ ΜΕ ΚΑΛ ΤΕΡ ΓΚ500'</t>
  </si>
  <si>
    <t>3247</t>
  </si>
  <si>
    <t>ΤΟΠΟΘΕΤΗΣΗ ΑΝΤΗΡΙΔΑΣ ΟΠΟΙΟΥΔΗΠΟΤΕ ΥΨΟΥΣ</t>
  </si>
  <si>
    <t>1.4301.12   ΚΑΤ ΤΕΡ ΣΥΝ ΚΑΛ ΣΩΛ/ΥΠ ΜΕ ΚΑΛ ΤΕΡ ΓΚ600'</t>
  </si>
  <si>
    <t>1.4301.13   ΚΑΤ ΤΕΡ ΣΥΝ ΚΑΛ ΣΩΛ/ΥΠ ΜΕ ΚΑΛ ΤΕΡ ΓΚ750'</t>
  </si>
  <si>
    <t>4001.1</t>
  </si>
  <si>
    <t>ΚΑΤΑΣΚ ΣΥΝΔ Φ0,4/6/8/9 ΧΡΗΣ ΜΗΧ ΣΥΝΔ 10'</t>
  </si>
  <si>
    <t>1.4301.14   ΚΑΤ ΤΕΡ ΣΥΝ ΚΑΛ ΣΩΛ/ΥΠ ΜΕ ΚΑΛ ΤΕΡ ΓΚ800'</t>
  </si>
  <si>
    <t>4001.10</t>
  </si>
  <si>
    <t>ΚΑΤΑΣ ΣΥΝΔ Φ0,4/6/8/9 ΧΡΗΣ ΜΗΧ ΣΥΝΔ 300'</t>
  </si>
  <si>
    <t>1.4301.15   ΚΑΤ ΤΕΡ ΣΥΝ ΚΑΛ ΣΩ/ΥΠ ΜΕ ΚΑΛ ΤΕΡ ΓΚ1000'</t>
  </si>
  <si>
    <t>4001.11</t>
  </si>
  <si>
    <t>ΚΑΤΑΣ ΣΥΝΔ Φ0,4/6/8/9 ΧΡΗΣ ΜΗΧ ΣΥΝΔ 400'</t>
  </si>
  <si>
    <t>1.4301.16   ΚΑΤ ΤΕΡ ΣΥΝ ΚΑΛ ΣΩ/ΥΠ ΜΕ ΚΑΛ ΤΕΡ ΓΚ1200'</t>
  </si>
  <si>
    <t>4001.12</t>
  </si>
  <si>
    <t>ΚΑΤΑΣ ΣΥΝΔ Φ0,4/6/8/9 ΧΡΗΣ ΜΗΧ ΣΥΝΔ 500'</t>
  </si>
  <si>
    <t>1.4301.17   ΚΑΤ ΤΕΡ ΣΥΝ ΚΑΛ ΣΩ/ΥΠ ΜΕ ΚΑΛ ΤΕΡ ΓΚ1400'</t>
  </si>
  <si>
    <t>4001.13</t>
  </si>
  <si>
    <t>ΚΑΤΑΣ ΣΥΝΔ Φ0,4/6/8/9 ΧΡΗΣ ΜΗΧ ΣΥΝΔ 600'</t>
  </si>
  <si>
    <t>1.4301.18   ΚΑΤ ΤΕΡ ΣΥΝ ΚΑΛ ΣΩ/ΥΠ ΜΕ ΚΑΛ ΤΕΡ ΓΚ1800'</t>
  </si>
  <si>
    <t>1.4301.19   ΚΑΤ ΤΕΡ ΣΥΝ ΚΑΛ ΣΩ/ΥΠ ΜΕ ΚΑΛ ΤΕΡ ΓΚ2400'</t>
  </si>
  <si>
    <t>4001.14</t>
  </si>
  <si>
    <t>ΚΑΤΑΣ ΣΥΝΔ Φ0,4/6/8/9 ΧΡΗΣ ΜΗΧ ΣΥΝΔ 800'</t>
  </si>
  <si>
    <t>1.4501.1   ΚΑΤΑΣΚ ΣΥΝΔΕΣΜ ΣΕ ΣΩΛΗΝΩΣΗ ΜΕΤΑΓΩΓΗΣ 10'</t>
  </si>
  <si>
    <t>4001.15</t>
  </si>
  <si>
    <t>ΚΑΤΑΣ ΣΥΝΔ Φ0,4/6/8/9 ΧΡΗΣ ΜΗΧ ΣΥΝ 1000'</t>
  </si>
  <si>
    <t>1.4501.2   ΚΑΤΑΣΚ ΣΥΝΔΕΣΜ ΣΕ ΣΩΛΗΝΩΣΗ ΜΕΤΑΓΩΓΗΣ 20'</t>
  </si>
  <si>
    <t>4001.16</t>
  </si>
  <si>
    <t>ΚΑΤΑΣ ΣΥΝΔ Φ0,4/6/8/9 ΧΡΗΣ ΜΗΧ ΣΥΝ 1200'</t>
  </si>
  <si>
    <t>1.4501.3   ΚΑΤΑΣΚ ΣΥΝΔΕΣΜ ΣΕ ΣΩΛΗΝΩΣΗ ΜΕΤΑΓΩΓΗΣ 30'</t>
  </si>
  <si>
    <t>4001.17</t>
  </si>
  <si>
    <t>ΚΑΤΑΣ ΣΥΝΔ Φ0,4/6/8/9 ΧΡΗΣ ΜΗΧ ΣΥΝ 1400'</t>
  </si>
  <si>
    <t>1.4501.4   ΚΑΤΑΣΚ ΣΥΝΔΕΣΜ ΣΕ ΣΩΛΗΝΩΣΗ ΜΕΤΑΓΩΓΗΣ 40'</t>
  </si>
  <si>
    <t>4001.18</t>
  </si>
  <si>
    <t>ΚΑΤΑΣ ΣΥΝΔ Φ0,4/6/8/9 ΧΡΗΣ ΜΗΧ ΣΥΝ 1600'</t>
  </si>
  <si>
    <t>1.4501.5   ΚΑΤΑΣΚ ΣΥΝΔΕΣΜ ΣΕ ΣΩΛΗΝΩΣΗ ΜΕΤΑΓΩΓΗΣ 50'</t>
  </si>
  <si>
    <t>4001.19</t>
  </si>
  <si>
    <t>ΚΑΤΑΣ ΣΥΝΔ Φ0,4/6/8/9 ΧΡΗΣ ΜΗΧ ΣΥΝ 1800'</t>
  </si>
  <si>
    <t>1.4501.6   ΚΑΤΑΣΚ ΣΥΝΔΕΣΜ ΣΕ ΣΩΛΗΝΩΣΗ ΜΕΤΑΓΩΓΗΣ 70'</t>
  </si>
  <si>
    <t>4001.2</t>
  </si>
  <si>
    <t>ΚΑΤΑΣΚ ΣΥΝΔ Φ0,4/6/8/9 ΧΡΗΣ ΜΗΧ ΣΥΝΔ 20'</t>
  </si>
  <si>
    <t>1.4501.7   ΚΑΤΑΣΚ ΣΥΝΔΕΣ ΣΕ ΣΩΛΗΝΩΣΗ ΜΕΤΑΓΩΓΗΣ 100'</t>
  </si>
  <si>
    <t>4001.20</t>
  </si>
  <si>
    <t>ΚΑΤΑΣ ΣΥΝΔ Φ0,4/6/8/9 ΧΡΗΣ ΜΗΧ ΣΥΝ 2000'</t>
  </si>
  <si>
    <t>1.4501.8   ΚΑΤΑΣΚ ΣΥΝΔΕΣ ΣΕ ΣΩΛΗΝΩΣΗ ΜΕΤΑΓΩΓΗΣ 150'</t>
  </si>
  <si>
    <t>1.4501.9   ΚΑΤΑΣΚ ΣΥΝΔΕΣ ΣΕ ΣΩΛΗΝΩΣΗ ΜΕΤΑΓΩΓΗΣ 200'</t>
  </si>
  <si>
    <t>4001.21</t>
  </si>
  <si>
    <t>ΚΑΤΑΣ ΣΥΝΔ Φ0,4/6/8/9 ΧΡΗΣ ΜΗΧ ΣΥΝ 2400'</t>
  </si>
  <si>
    <t>1.4501.10   ΚΑΤΑΣΚ ΣΥΝΔΕΣ ΣΕ ΣΩΛΗΝΩΣΗ ΜΕΤΑΓΩΓΗΣ 300'</t>
  </si>
  <si>
    <t>4001.3</t>
  </si>
  <si>
    <t>ΚΑΤΑΣΚ ΣΥΝΔ Φ0,4/6/8/9 ΧΡΗΣ ΜΗΧ ΣΥΝΔ 30'</t>
  </si>
  <si>
    <t>1.4501.11   ΚΑΤΑΣΚ ΣΥΝΔΕΣ ΣΕ ΣΩΛΗΝΩΣΗ ΜΕΤΑΓΩΓΗΣ 400'</t>
  </si>
  <si>
    <t>4001.4</t>
  </si>
  <si>
    <t>ΚΑΤΑΣΚ ΣΥΝΔ Φ0,4/6/8/9 ΧΡΗΣ ΜΗΧ ΣΥΝΔ 40'</t>
  </si>
  <si>
    <t>1.4501.12   ΚΑΤΑΣΚ ΣΥΝΔΕΣ ΣΕ ΣΩΛΗΝΩΣΗ ΜΕΤΑΓΩΓΗΣ 500'</t>
  </si>
  <si>
    <t>4001.5</t>
  </si>
  <si>
    <t>ΚΑΤΑΣΚ ΣΥΝΔ Φ0,4/6/8/9 ΧΡΗΣ ΜΗΧ ΣΥΝΔ 50'</t>
  </si>
  <si>
    <t>1.4501.13   ΚΑΤΑΣΚ ΣΥΝΔΕΣ ΣΕ ΣΩΛΗΝΩΣΗ ΜΕΤΑΓΩΓΗΣ 600'</t>
  </si>
  <si>
    <t>4001.6</t>
  </si>
  <si>
    <t>ΚΑΤΑΣΚ ΣΥΝΔ Φ0,4/6/8/9 ΧΡΗΣ ΜΗΧ ΣΥΝΔ 70'</t>
  </si>
  <si>
    <t>1.4501.14   ΚΑΤΑΣΚ ΣΥΝΔΕΣ ΣΕ ΣΩΛΗΝΩΣΗ ΜΕΤΑΓΩΓΗΣ 800'</t>
  </si>
  <si>
    <t>4001.7</t>
  </si>
  <si>
    <t>ΚΑΤΑΣ ΣΥΝΔ Φ0,4/6/8/9 ΧΡΗΣ ΜΗΧ ΣΥΝΔ 100'</t>
  </si>
  <si>
    <t>4001.8</t>
  </si>
  <si>
    <t>1.4501.15   ΚΑΤΑΣ ΣΥΝΔΕΣ ΣΕ ΣΩΛΗΝΩΣΗ ΜΕΤΑΓΩΓΗΣ 1000'</t>
  </si>
  <si>
    <t>ΚΑΤΑΣ ΣΥΝΔ Φ0,4/6/8/9 ΧΡΗΣ ΜΗΧ ΣΥΝΔ 150'</t>
  </si>
  <si>
    <t>1.4501.16   ΚΑΤΑΣ ΣΥΝΔΕΣ ΣΕ ΣΩΛΗΝΩΣΗ ΜΕΤΑΓΩΓΗΣ 1200'</t>
  </si>
  <si>
    <t>4001.9</t>
  </si>
  <si>
    <t>ΚΑΤΑΣ ΣΥΝΔ Φ0,4/6/8/9 ΧΡΗΣ ΜΗΧ ΣΥΝΔ 200'</t>
  </si>
  <si>
    <t>1.4501.17   ΚΑΤΑΣ ΣΥΝΔΕΣ ΣΕ ΣΩΛΗΝΩΣΗ ΜΕΤΑΓΩΓΗΣ 1400'</t>
  </si>
  <si>
    <t>4101.1</t>
  </si>
  <si>
    <t>ΚΑΤ ΣΥΝΔ Φ0,4/6/8/9 ΟΠΛ ΚΑΛ ΜΗΧ ΣΥΝΔ 10'</t>
  </si>
  <si>
    <t>1.4501.18   ΚΑΤΑΣ ΣΥΝΔΕΣ ΣΕ ΣΩΛΗΝΩΣΗ ΜΕΤΑΓΩΓΗΣ 1600'</t>
  </si>
  <si>
    <t>4101.10</t>
  </si>
  <si>
    <t>ΚΑΤ ΣΥΝΔ Φ0,4/6/8/9 ΟΠΛ ΚΑΛ ΜΗΧ ΣΥΝΔ 300</t>
  </si>
  <si>
    <t>1.4501.19   ΚΑΤΑΣ ΣΥΝΔΕΣ ΣΕ ΣΩΛΗΝΩΣΗ ΜΕΤΑΓΩΓΗΣ 1800'</t>
  </si>
  <si>
    <t>4101.11</t>
  </si>
  <si>
    <t>ΚΑΤ ΣΥΝΔ Φ0,4/6/8/9 ΟΠΛ ΚΑΛ ΜΗΧ ΣΥΝΔ 400</t>
  </si>
  <si>
    <t>4101.12</t>
  </si>
  <si>
    <t>ΚΑΤ ΣΥΝΔ Φ0,4/6/8/9 ΟΠΛ ΚΑΛ ΜΗΧ ΣΥΝΔ 500</t>
  </si>
  <si>
    <t>1.4501.20   ΚΑΤΑΣ ΣΥΝΔΕΣ ΣΕ ΣΩΛΗΝΩΣΗ ΜΕΤΑΓΩΓΗΣ 2000'</t>
  </si>
  <si>
    <t>4101.13</t>
  </si>
  <si>
    <t>ΚΑΤ ΣΥΝΔ Φ0,4/6/8/9 ΟΠΛ ΚΑΛ ΜΗΧ ΣΥΝΔ 600</t>
  </si>
  <si>
    <t>1.4501.21   ΚΑΤΑΣ ΣΥΝΔΕΣ ΣΕ ΣΩΛΗΝΩΣΗ ΜΕΤΑΓΩΓΗΣ 2400'</t>
  </si>
  <si>
    <t>4101.14</t>
  </si>
  <si>
    <t>ΚΑΤ ΣΥΝΔ Φ0,4/6/8/9 ΟΠΛ ΚΑΛ ΜΗΧ ΣΥΝΔ 800</t>
  </si>
  <si>
    <t>4101.15</t>
  </si>
  <si>
    <t>ΚΑΤ ΣΥΝΔ Φ0,4/6/8/9 ΟΠΛ ΚΑΛ ΜΗΧ ΣΥΝΔ1000</t>
  </si>
  <si>
    <t>1.4601.1   ΚΑΤΑΣ ΣΥΝΔ Φ0,4/6/8 ΟΠΛ ΚΑΛ ΜΗΧ ΣΥΝΔ 10'</t>
  </si>
  <si>
    <t>4101.16</t>
  </si>
  <si>
    <t>ΚΑΤ ΣΥΝΔ Φ0,4/6/8/9 ΟΠΛ ΚΑΛ ΜΗΧ ΣΥΝΔ1200</t>
  </si>
  <si>
    <t>1.4601.2   ΚΑΤΑΣ ΣΥΝΔ Φ0,4/6/8 ΟΠΛ ΚΑΛ ΜΗΧ ΣΥΝΔ 20'</t>
  </si>
  <si>
    <t>4101.17</t>
  </si>
  <si>
    <t>ΚΑΤ ΣΥΝΔ Φ0,4/6/8/9 ΟΠΛ ΚΑΛ ΜΗΧ ΣΥΝΔ1400</t>
  </si>
  <si>
    <t>1.4601.3   ΚΑΤΑΣ ΣΥΝΔ Φ0,4/6/8 ΟΠΛ ΚΑΛ ΜΗΧ ΣΥΝΔ 30'</t>
  </si>
  <si>
    <t>4101.18</t>
  </si>
  <si>
    <t>ΚΑΤ ΣΥΝΔ Φ0,4/6/8/9 ΟΠΛ ΚΑΛ ΜΗΧ ΣΥΝΔ1600</t>
  </si>
  <si>
    <t>1.4601.4   ΚΑΤΑΣ ΣΥΝΔ Φ0,4/6/8 ΟΠΛ ΚΑΛ ΜΗΧ ΣΥΝΔ 40'</t>
  </si>
  <si>
    <t>4101.19</t>
  </si>
  <si>
    <t>ΚΑΤ ΣΥΝΔ Φ0,4/6/8/9 ΟΠΛ ΚΑΛ ΜΗΧ ΣΥΝΔ1800</t>
  </si>
  <si>
    <t>1.4601.5   ΚΑΤΑΣ ΣΥΝΔ Φ0,4/6/8 ΟΠΛ ΚΑΛ ΜΗΧ ΣΥΝΔ 50'</t>
  </si>
  <si>
    <t>4101.2</t>
  </si>
  <si>
    <t>ΚΑΤ ΣΥΝΔ Φ0,4/6/8/9 ΟΠΛ ΚΑΛ ΜΗΧ ΣΥΝΔ 20'</t>
  </si>
  <si>
    <t>1.4601.6   ΚΑΤΑΣ ΣΥΝΔ Φ0,4/6/8 ΟΠΛ ΚΑΛ ΜΗΧ ΣΥΝΔ 70'</t>
  </si>
  <si>
    <t>4101.20</t>
  </si>
  <si>
    <t>ΚΑΤ ΣΥΝΔ Φ0,4/6/8/9 ΟΠΛ ΚΑΛ ΜΗΧ ΣΥΝΔ2000</t>
  </si>
  <si>
    <t>1.4601.7   ΚΑΤ ΣΥΝΔ Φ0,4/6/8 ΟΠΛ ΚΑΛ ΜΗΧ ΣΥΝΔ 100''</t>
  </si>
  <si>
    <t>4101.21</t>
  </si>
  <si>
    <t>ΚΑΤ ΣΥΝΔ Φ0,4/6/8/9 ΟΠΛ ΚΑΛ ΜΗΧ ΣΥΝΔ2400</t>
  </si>
  <si>
    <t>1.4601.8   ΚΑΤ ΣΥΝΔ Φ0,4/9/8 ΟΠΛ ΚΑΛ ΜΗΧ ΣΥΝΔ 150''</t>
  </si>
  <si>
    <t>4101.3</t>
  </si>
  <si>
    <t>ΚΑΤ ΣΥΝΔ Φ0,4/6/8/9 ΟΠΛ ΚΑΛ ΜΗΧ ΣΥΝΔ 30'</t>
  </si>
  <si>
    <t>1.4601.9   ΚΑΤ ΣΥΝΔ Φ0,4/9/8 ΟΠΛ ΚΑΛ ΜΗΧ ΣΥΝΔ 200''</t>
  </si>
  <si>
    <t>4101.4</t>
  </si>
  <si>
    <t>ΚΑΤ ΣΥΝΔ Φ0,4/6/8/9 ΟΠΛ ΚΑΛ ΜΗΧ ΣΥΝΔ 40'</t>
  </si>
  <si>
    <t>1.4601.10   ΚΑΤ ΣΥΝΔ Φ0,4/9/8 ΟΠΛ ΚΑΛ ΜΗΧ ΣΥΝΔ 300''</t>
  </si>
  <si>
    <t>4101.5</t>
  </si>
  <si>
    <t>ΚΑΤ ΣΥΝΔ Φ0,4/6/8/9 ΟΠΛ ΚΑΛ ΜΗΧ ΣΥΝΔ 50'</t>
  </si>
  <si>
    <t>1.4601.11   ΚΑΤ ΣΥΝΔ Φ0,4/9/8 ΟΠΛ ΚΑΛ ΜΗΧ ΣΥΝΔ 400''</t>
  </si>
  <si>
    <t>4101.6</t>
  </si>
  <si>
    <t>ΚΑΤ ΣΥΝΔ Φ0,4/6/8/9 ΟΠΛ ΚΑΛ ΜΗΧ ΣΥΝΔ 70'</t>
  </si>
  <si>
    <t>1.4601.12   ΚΑΤ ΣΥΝΔ Φ0,4/9/8 ΟΠΛ ΚΑΛ ΜΗΧ ΣΥΝΔ 500''</t>
  </si>
  <si>
    <t>4101.7</t>
  </si>
  <si>
    <t>ΚΑΤ ΣΥΝΔ Φ0,4/6/8/9 ΟΠΛ ΚΑΛ ΜΗΧ ΣΥΝΔ 100</t>
  </si>
  <si>
    <t>1.4601.13   ΚΑΤ ΣΥΝΔ Φ0,4/9/8 ΟΠΛ ΚΑΛ ΜΗΧ ΣΥΝΔ 600''</t>
  </si>
  <si>
    <t>4101.8</t>
  </si>
  <si>
    <t>ΚΑΤ ΣΥΝΔ Φ0,4/6/8/9 ΟΠΛ ΚΑΛ ΜΗΧ ΣΥΝΔ 150</t>
  </si>
  <si>
    <t>1.4601.14   ΚΑΤ ΣΥΝΔ Φ0,4/9/8 ΟΠΛ ΚΑΛ ΜΗΧ ΣΥΝΔ 800''</t>
  </si>
  <si>
    <t>4101.9</t>
  </si>
  <si>
    <t>1.4601.15   ΚΑΤ ΣΥΝΔ Φ0,4/9/8 ΟΠΛ ΚΑΛ ΜΗΧ ΣΥΝΔ 1000'</t>
  </si>
  <si>
    <t>ΚΑΤ ΣΥΝΔ Φ0,4/6/8/9 ΟΠΛ ΚΑΛ ΜΗΧ ΣΥΝΔ 200</t>
  </si>
  <si>
    <t>1.4601.16   ΚΑΤ ΣΥΝΔ Φ0,4/9/8 ΟΠΛ ΚΑΛ ΜΗΧ ΣΥΝΔ 1200'</t>
  </si>
  <si>
    <t>4699</t>
  </si>
  <si>
    <t>ΔΟΚΙΜΕΣ ΜΕΤΑΓΩΓΗΣ ΣΥΝΔΕΣΜΟΥ</t>
  </si>
  <si>
    <t>1.4601.17   ΚΑΤ ΣΥΝΔ Φ0,4/9/8 ΟΠΛ ΚΑΛ ΜΗΧ ΣΥΝΔ 1400'</t>
  </si>
  <si>
    <t>4801</t>
  </si>
  <si>
    <t>ΜΕΤΑΤΡΟΠΗ ΚΚ ή KV ΣΕ ΚΑΜΠΙΝΑ NGA Γ3</t>
  </si>
  <si>
    <t>1.4601.18   ΚΑΤ ΣΥΝΔ Φ0,4/9/8 ΟΠΛ ΚΑΛ ΜΗΧ ΣΥΝΔ 1600'</t>
  </si>
  <si>
    <t>4811</t>
  </si>
  <si>
    <t>ΜΕΤΑΤΡΟΠΗ ΚΚ ή KV ΣΕ ΚΑΜΠΙΝΑ NGA Γ2</t>
  </si>
  <si>
    <t>1.4601.19   ΚΑΤ ΣΥΝΔ Φ0,4/9/8 ΟΠΛ ΚΑΛ ΜΗΧ ΣΥΝΔ 1800'</t>
  </si>
  <si>
    <t>4821</t>
  </si>
  <si>
    <t>ΑΝΤΙΚΑΤΑΣΤΑΣΗ KV ΜΕ ΚΑΛΩΔΙΟΥΡΑ ΕΩΣ 30m</t>
  </si>
  <si>
    <t>1.4601.20   ΚΑΤ ΣΥΝΔ Φ0,4/9/8 ΟΠΛ ΚΑΛ ΜΗΧ ΣΥΝΔ 2000'</t>
  </si>
  <si>
    <t>5000</t>
  </si>
  <si>
    <t>1.4601.21   ΚΑΤ ΣΥΝΔ Φ0,4/9/8 ΟΠΛ ΚΑΛ ΜΗΧ ΣΥΝΔ 2400'</t>
  </si>
  <si>
    <t>ΗΛΕΚΤΡ ΥΠΑΙΘΡ ΚΑΜΠ ΟΔΠ ΠΛΗΝ ΥΠΕΥΘ ΔΗΛΩΣΗ</t>
  </si>
  <si>
    <t>1.4610.1   ΑΝΟΙΓΜΑ ΚΑΛΩΔ/ΣΥΝΔ ΣΕ ΣΩΛΗΝΩΣΗ 10-100''</t>
  </si>
  <si>
    <t>5010</t>
  </si>
  <si>
    <t>ΕΛΕΓΧ ΓΕΙΩΣΗΣ &amp; ΕΚΔ ΥΠΕΥΘ ΔΗΛΩΣΗ ΗΛΕΚΤΡ</t>
  </si>
  <si>
    <t>1.4610.2   ΑΝΟΙΓΜΑ ΚΑΛΩΔ/ΣΥΝΔ ΣΕ ΣΩΛΗΝΩΣΗ 150-350''</t>
  </si>
  <si>
    <t>5011.1</t>
  </si>
  <si>
    <t>1.4610.3   ΑΝΟΙΓΜΑ ΚΑΛ/ΣΥΝΔ ΣΕ ΣΩΛΗΝΩΣΗ 400-1000''</t>
  </si>
  <si>
    <t>5014</t>
  </si>
  <si>
    <t>ΠΡΟΜΗΘΕΙΑ &amp; ΤΟΠΟΘΕΤΗΣΗ ΣΙΔΕΡ ΛΑΜΑΣ ΣΕ ΓΚ</t>
  </si>
  <si>
    <t>1.4610.4   ΑΝΟΙΓΜΑ ΚΑΛ/ΣΥΝΔ ΣΕ ΣΩΛΗΝΩΣΗ 1200-2400''</t>
  </si>
  <si>
    <t>5021</t>
  </si>
  <si>
    <t>ΚΑΤΑΣΚΕΥΗ ΜΙΚΤΟΝΟΜΗΣΗΣ (ΖΕΥΞΗΣ) ΣΕ ΓΚ</t>
  </si>
  <si>
    <t>1.5001.1   ΚΑΤΑΣΚ/ΤΟΠ ΤΕΡΜ ΚΑΛΩΔ ΣΕ ΓΕΝ ΚΑΤΑΝ 50''</t>
  </si>
  <si>
    <t>5022</t>
  </si>
  <si>
    <t>ΑΠΟΞΗΛΩΣΗ ΠΑΛΑΙΑΣ ΜΙΚΤΟΝΟΜΗΣΗΣ ΑΠΟ ΓΚ</t>
  </si>
  <si>
    <t>1.5001.2   ΚΑΤΑΣΚ/ΤΟΠ ΤΕΡΜ ΚΑΛΩΔ ΣΕ ΓΕΝ ΚΑΤΑΝ 100''</t>
  </si>
  <si>
    <t>5031.1</t>
  </si>
  <si>
    <t>ΤΕΡΜ ΣΤΕΓ ΚΑΛΩΔ PE ΣΕ ΓΕΝ ΚΑΤΑΝ 50-300''</t>
  </si>
  <si>
    <t>1.5001.3   ΚΑΤΑΣΚ/ΤΟΠ ΤΕΡΜ ΚΑΛΩΔ ΣΕ ΓΕΝ ΚΑΤΑΝ 150''</t>
  </si>
  <si>
    <t>5031.2</t>
  </si>
  <si>
    <t>ΤΕΡΜ ΣΤΕΓ ΚΑΛ PE  ΓΕΝ ΚΑΤ 400,500,600''</t>
  </si>
  <si>
    <t>1.5001.4   ΚΑΤΑΣΚ/ΤΟΠ ΤΕΡΜ ΚΑΛΩΔ ΣΕ ΓΕΝ ΚΑΤΑΝ 200''</t>
  </si>
  <si>
    <t>1.5001.5   ΚΑΤΑΣΚ/ΤΟΠ ΤΕΡΜ ΚΑΛΩΔ ΣΕ ΓΕΝ ΚΑΤΑΝ 250''</t>
  </si>
  <si>
    <t>5051.3</t>
  </si>
  <si>
    <t>1.5001.6   ΚΑΤΑΣΚ/ΤΟΠ ΤΕΡΜ ΚΑΛΩΔ ΣΕ ΓΕΝ ΚΑΤΑΝ 300''</t>
  </si>
  <si>
    <t>5102</t>
  </si>
  <si>
    <t>1.5001.7   ΚΑΤΑΣΚ/ΤΟΠ ΤΕΡΜ ΚΑΛΩΔ ΣΕ ΓΕΝ ΚΑΤΑΝ 400''</t>
  </si>
  <si>
    <t>ΤΟΠΟΘΕΤΗΣΗ / ΑΦΑΙΡΕΣΗ ΤΕΣΤΙΝΑΣ ΑΠΟ KV</t>
  </si>
  <si>
    <t>1.5002.1   ΑΠΟΤΟΠ ΚΑΛΩΔ ΤΕΡΜ ΑΠΟ ΓΕΝ ΚΑΤΑΝ 50-350''</t>
  </si>
  <si>
    <t>5105</t>
  </si>
  <si>
    <t>ΠΡΟΚΑΤ ΟΡΙΟΛ ΔΔ 100&amp;50'' ΜΕΤΑΦ &amp; ΤΟΠ Γ3</t>
  </si>
  <si>
    <t>1.5002.2   ΑΠΟΤΟΠ ΚΑΛ ΤΕΡΜ ΑΠΟ ΓΕΝ ΚΑΤΑΝ 400-600''</t>
  </si>
  <si>
    <t>1.5002.3   ΑΠΟΤΟΠ ΚΑΛ ΤΕΡΜ ΑΠΟ ΓΕΝ ΚΑΤΑΝ 700-800''</t>
  </si>
  <si>
    <t>1.5002.4   ΑΠΟΤ ΚΑΛ ΤΕΡΜ ΑΠΟ ΓΕΝ ΚΑΤΑΝ 1000-1200''</t>
  </si>
  <si>
    <t>5107</t>
  </si>
  <si>
    <t>ΠΡΟΚΑΤ ΟΡΙΟΛ ΚΔ 300' ΜΕΤΑΦ &amp; ΤΟΠ ΚΑΜΠ Γ3</t>
  </si>
  <si>
    <t>1.5002.5   ΑΠΟΤ ΚΑΛ ΤΕΡΜ ΑΠΟ ΓΕΝ ΚΑΤΑΝ 1400-1600''</t>
  </si>
  <si>
    <t>1.5002.6   ΑΠΟΤ ΚΑΛ ΤΕΡΜ ΑΠΟ ΓΕΝ ΚΑΤΑΝ 1800-2000''</t>
  </si>
  <si>
    <t>5112</t>
  </si>
  <si>
    <t>ΤΟΠΟΘ/ΣΤΕΡ ΒΑΣΗΣ ΣΕ KV ΝΕΟΥ ΤΥΠΟΥ 1200''</t>
  </si>
  <si>
    <t>1.5002.7   ΑΠΟΤΟΠ ΚΑΛΩΔ ΤΕΡΜ ΑΠΟ ΓΕΝ ΚΑΤΑΝ 2400''</t>
  </si>
  <si>
    <t>5121.1</t>
  </si>
  <si>
    <t>1.5011.1   ΤΟΠΟΘΕΤΗΣΗ ΟΡΙΟΛΩΡΙΔΑΣ ΣΕ ΓΕΝ ΚΑΤΑΝ 100'</t>
  </si>
  <si>
    <t>ΤΕΡΜ ΠΛΗΡΟΥΣ ΚΑΛΩΔ ΣΕ KV 1200/10 ή 20''</t>
  </si>
  <si>
    <t>1.5011.2   ΤΟΠΟΘΕΤΗΣΗ ΟΡΙΟΛΩΡΙΔΑΣ ΣΕ ΓΕΝ ΚΑΤΑΝ 256'</t>
  </si>
  <si>
    <t>5121.2</t>
  </si>
  <si>
    <t>ΤΕΡΜ ΠΛΗΡΟΥΣ ΚΑΛΩΔ ΣΕ KV 1200/30 ή 40''</t>
  </si>
  <si>
    <t>1.5011.3   ΤΟΠΟΘΕΤΗΣΗ ΟΡΙΟΛΩΡΙΔΑΣ ΣΕ ΓΕΝ ΚΑΤΑΝ 512'</t>
  </si>
  <si>
    <t>5121.3</t>
  </si>
  <si>
    <t>1.5031.3   ΤΕΡΜ ΣΤΕΓΝ ΚΑΛΩΔ PE  ΣΕ ΓΕΝ ΚΑΤΑΝ 800''</t>
  </si>
  <si>
    <t>ΤΕΡΜ ΠΛΗΡΟΥΣ ΚΑΛΩΔ ΣΕ KV 1200/50 ή 70''</t>
  </si>
  <si>
    <t>5121.4</t>
  </si>
  <si>
    <t>ΤΕΡΜΑΤ ΠΛΗΡΟΥΣ ΚΑΛΩΔ ΣΕ KV 1200/ 100''</t>
  </si>
  <si>
    <t>1.5031.4   ΤΕΡΜ ΣΤΕΓ ΚΑΛΩΔ PE ΓΕΝ ΚΑΤ 1000 ή 1200''</t>
  </si>
  <si>
    <t>1.5031.5   ΤΕΡΜ ΣΤΕΓΝΟΥ ΚΑΛΩΔ PE ΣΕ ΓΕΝ ΚΑΤΑΝ 1400'</t>
  </si>
  <si>
    <t>5121.5</t>
  </si>
  <si>
    <t>ΤΕΡΜ ΠΛΗΡΟΥΣ ΚΑΛΩΔ ΣΕ KV1200/150 ή 200''</t>
  </si>
  <si>
    <t>1.5031.6   ΤΕΡΜ ΣΤΕΓΝΟΥ ΚΑΛΩΔ PE ΣΕ ΓΕΝ ΚΑΤΑΝ 1600'</t>
  </si>
  <si>
    <t>5121.6</t>
  </si>
  <si>
    <t>ΤΕΡΜ ΠΛΗΡΟΥΣ ΚΑΛΩΔ ΣΕ KV1200/300 ή 400''</t>
  </si>
  <si>
    <t>1.5031.7   ΤΕΡΜ ΣΤΕΓΝΟΥ ΚΑΛΩΔ PE ΣΕ ΓΕΝ ΚΑΤΑΝ 1800'</t>
  </si>
  <si>
    <t>5131.1</t>
  </si>
  <si>
    <t>ΤΕΡΜ ΣΤΕΓΝ ΚΑΛΩΔ ΣΕ KV1200/50 ή70 ή100''</t>
  </si>
  <si>
    <t>1.5031.8   ΤΕΡΜ ΣΤΕΓΝΟΥ ΚΑΛΩΔ PE ΣΕ ΓΕΝ ΚΑΤΑΝ 2000'</t>
  </si>
  <si>
    <t>5131.2</t>
  </si>
  <si>
    <t>ΤΕΡΜΑΤΙΣΜΟΣ ΣΤΕΓΝ ΚΑΛΩΔ ΣΕ KV1200/ 200''</t>
  </si>
  <si>
    <t>1.5031.9   ΤΕΡΜ ΣΤΕΓΝΟΥ ΚΑΛΩΔ PE ΣΕ ΓΕΝ ΚΑΤΑΝ 2400'</t>
  </si>
  <si>
    <t>1.5051.1   ΤΕΡΜ SHIEDEL ΚΑΛ ΣΕ ΓΕΝ ΚΑΤ ΦΥΣ ΣΥΝ 24''</t>
  </si>
  <si>
    <t>5131.3</t>
  </si>
  <si>
    <t>ΤΕΡΜ ΣΤΕΓΝ ΚΑΛΩΔ ΣΕ KV1200/ 300 ή 400''</t>
  </si>
  <si>
    <t>1.5051.2   ΤΕΡΜ SHIEDEL ΚΑΛ ΣΕ ΓΕΝ ΚΑΤ ΦΥΣ ΣΥΝ 32''</t>
  </si>
  <si>
    <t>5151</t>
  </si>
  <si>
    <t>ΒΑΦΗ ΚΑΤΑΝΕΜΗΤΗ ΚΑΛΩΔΙΩΝ</t>
  </si>
  <si>
    <t>1.5051.3   ΤΕΡΜ SHIEDEL ΚΑΛ ΣΕ ΓΕΝ ΚΑΤ ΦΥΣ ΣΥΝ 48''</t>
  </si>
  <si>
    <t>1.5051.4   ΤΕΡΜ SHIEDEL ΚΑΛ ΣΕ ΓΕΝ ΚΑΤ ΦΥΣ ΣΥΝ 96''</t>
  </si>
  <si>
    <t>5155</t>
  </si>
  <si>
    <t>ΑΝΤΙΚΑΤΑΣΤΑΣΗ ΠΟΡΤΑΣ KV</t>
  </si>
  <si>
    <t>1.5101   ΤΟΠΟΘΕΤΗΣΗ ΤΕΣΤΙΝΑΣ ΣΕ KV</t>
  </si>
  <si>
    <t>1.5104   ΠΡΟΚΑΤ ΟΡΙΟΛΩΡΙΔΑ ΜΕΤΑΦ &amp; ΤΟΠ ΣΕ ΚΑΜΠ Γ2</t>
  </si>
  <si>
    <t>5157</t>
  </si>
  <si>
    <t>ΑΝΤΙΚΑΤΑΣΤΑΣΗ ΔΙΑΒΡΩΜΕΝΟΥ ΜΑΝΔΥΑ KV</t>
  </si>
  <si>
    <t>1.5109.1   ΜΕΤΑΦ &amp; ΤΟΠ ΠΡΟΚΑΤ ΟΡΙΟΛΩΡΙΔΑ ΔΔ ΚΑΜΠ Γ3</t>
  </si>
  <si>
    <t>5201</t>
  </si>
  <si>
    <t>ΤΟΠΟΘ ΚΟΥΤ ΔΙΑΝΟΜΗΣ ΝΕΟΥ ΤΥΠ ΕΠΙ ΤΟΙΧ/ΣΤ</t>
  </si>
  <si>
    <t>1.5109.2   ΜΕΤΑΦ &amp; ΤΟΠ ΠΡΟΚΑΤ ΟΡΙΟΛΩΡΙΔΑ ΚΔ ΚΑΜΠ Γ3</t>
  </si>
  <si>
    <t>5211</t>
  </si>
  <si>
    <t>ΑΦΑΙΡ ΑΚΡ ΔΙΑΚΛ ή ΚΟΥΤ ΜΕΤΑΦ ΜΕ ΚΑΛ 10''</t>
  </si>
  <si>
    <t>1.5109.3   ΜΕΤΑΦ &amp; ΤΟΠ ΠΡΟΚΑΤ ΟΡΙΟΛΩΡΙΔΑ ΚΑΜΠ Γ2</t>
  </si>
  <si>
    <t>5212</t>
  </si>
  <si>
    <t>ΑΦΑΙΡ ΣΙΔΗΡΟΣΩΛΗΝΑ ΑΝΥΨΩΣΗΣ ΑΠΟ ΤΟΙΧ/ΣΤΥ</t>
  </si>
  <si>
    <t>1.5111   ΜΕΤΑΤΡΟΠΗ KV ΠΑΛΑΙΟΥ ΤΥΠΟΥ ΣΕ ΝΕΟΥ 1200'</t>
  </si>
  <si>
    <t>1.5152   ΕΞΩΤ.&amp;ΕΣΩΤ.ΚΑΘΑΡΙΣΜΟΣ KV ΠΑΛΑΙΟΥ ΤΥΠΟΥ</t>
  </si>
  <si>
    <t>5241</t>
  </si>
  <si>
    <t>ΒΑΦΗ &amp; ΑΡΙΘΜ ΑΔ ή ΚΜ ή ΑΡΙΘΜ ΚΥΤ ΔΙΑΜ ΝΤ</t>
  </si>
  <si>
    <t>1.5153   ΣΤΕΓΑΝΟΠΟΙΗΣΗ ΠΟΡΤΑΣ KV ΟΙΟΥΔΗΠΟΤΕ ΤΥΠΟΥ</t>
  </si>
  <si>
    <t>5242.1</t>
  </si>
  <si>
    <t>1.5154   ΕΠΙΣΚ ΣΤΕΓΑΝΟΠ ΣΤΗ ΒΑΣΗ KV ΚΑΘΕ ΤΥΠΟΥ</t>
  </si>
  <si>
    <t>5251</t>
  </si>
  <si>
    <t>ΜΕΤΑΤΡΟΠΗ ΓΡΑΜΜΗΣ ΣΥΝΔΡΟΜΗΤΗ (ΑΤΟΜ ΓΡΑΜ)</t>
  </si>
  <si>
    <t>1.5156   ΕΠΙΣΚ ΚΛΕΙΘΡΩΝ ΑΣΦΑΛΕΙΑΣ ΠΟΡΤΑΣ KV</t>
  </si>
  <si>
    <t>5311</t>
  </si>
  <si>
    <t>ΚΑΤΑΣΚ ΓΕΙΩΣΗΣ KV ΠΑΛ/ΝΕΟΥ ΤΥΠΟΥ ή σε ΔΚ</t>
  </si>
  <si>
    <t>1.5202   ΤΟΠΟΘ ΑΚΡ ΔΙΑΚΛ ή ΚΟΥΤ ΜΕΤΑΦ ΜΕ ΚΑΛ 10''</t>
  </si>
  <si>
    <t>5321</t>
  </si>
  <si>
    <t>ΚΑΤΑΣΚ ΓΕΙΩΣΗ ΑΝΤΙΚΕΡΑΥΝ ΠΡΟΣΤ ΑΝΑ ΠΛΑΚΑ</t>
  </si>
  <si>
    <t>1.5242.1   ΑΛΛΑΓΗ ΑΡΙΘΜΗΣΗΣ ΣΕ ΕΙΣΑΓΩΓΗ 10-100''</t>
  </si>
  <si>
    <t>5356.1</t>
  </si>
  <si>
    <t>ΤΟΠΟΘΕΤΗΣΗ ΘΗΛΙΑΣ ΕΠΙ ΣΤΎΛΟΥ ή ΤΟΙΧΟΥ</t>
  </si>
  <si>
    <t>1.5242.2   ΑΛΛΑΓΗ ΑΡΙΘΜΗΣΗΣ ΣΕ ΕΙΣΑΓΩΓΗ &gt; 100''</t>
  </si>
  <si>
    <t>5357</t>
  </si>
  <si>
    <t>ΤΟΠ ΘΗΛΙΑΣ ΑΝΑΡΤ ΑΥΤΟΣΤ ΚΑΛ ΣΕ ΚΕΡΑΙΑ</t>
  </si>
  <si>
    <t>1.5301   ΚΑΤ ΓΕΙΩΣΗΣ ΚΑΛ ΤΕΡΜ ΣΕ ΓΕΝ ΚΑΤΑΝΕΜΗΤΗ</t>
  </si>
  <si>
    <t>5358.1</t>
  </si>
  <si>
    <t>ΤΟΠ ΧΑΛήΕΝΔ ΚΟΥΤ ΔΙΑΣ ΕΝ ΚΑΛ ΕπιΣΤΎΛήΤΟΙ</t>
  </si>
  <si>
    <t>1.5322   ΚΑΤΑΣΚ ΓΕΙΩΤΗ ΑΝΤΙΚΕΡΑΥΝΙΚΗΣ ΠΡΟΣΤ-3ΠΛΑΚ</t>
  </si>
  <si>
    <t>5359</t>
  </si>
  <si>
    <t>ΑΦΑΙΡΕΣΗ (ΚΟΠΗ) ΘΗΛΙΑΣ ΑΠΟ ΤΟΙΧΟ</t>
  </si>
  <si>
    <t>1.5351.1   ΣΤΕΓΑΝΟΠ ΣΤΕΓΝ ΚΑΛΩΔ ΜΕ ΠΛ ΜΟΝ 10-200''</t>
  </si>
  <si>
    <t>5360.2</t>
  </si>
  <si>
    <t>ΤΟΠ ΣΤΕΦ ΑΥΤΟΣΤ ΚΑΛ ΣΤΥΛΟ-ΥΦ ή ΔΙΑΝ ΟΠΗ</t>
  </si>
  <si>
    <t>1.5351.2   ΣΤΕΓΑΝΟΠ ΣΤΕΓΝ ΚΑΛΩΔ ΜΕ ΠΛ ΜΟΝ 250-500''</t>
  </si>
  <si>
    <t>5363</t>
  </si>
  <si>
    <t>ΤΟΠΟΘ ΚΕΡΑΙΑΣ ΕΠΙ ΣΤΥΛΟΥ ΠΛ ΕΞΟΠΛΙΣΜΕΝΗΣ</t>
  </si>
  <si>
    <t>1.5351.3   ΣΤΕΓΑΝ ΣΤΕΓΝ ΚΑΛΩΔ ΜΕ ΠΛ ΜΟΝ 600-1400''</t>
  </si>
  <si>
    <t>5365.2</t>
  </si>
  <si>
    <t>ΤΟΠ ΑΓΚΙΣΤ ΑΝΑΡ ΑΥΤ ΚΑΛ-ΜΕήΧΩΡ ΤΡΥΠ ΣΤΥΛ</t>
  </si>
  <si>
    <t>1.5351.4   ΣΤΕΓΑΝ ΣΤΕΓΝ ΚΑΛΩΔ ΜΕ ΠΛ ΜΟΝ 1600-2400''</t>
  </si>
  <si>
    <t>5370.1</t>
  </si>
  <si>
    <t>ΤΕΡΜΑΤ ΑΥΤΟΣΤ ΚΑΛ 2,5'' ΣΕ ΧΚ,ΚΔ,Εισ</t>
  </si>
  <si>
    <t>5370.3</t>
  </si>
  <si>
    <t>1.5356.2   ΤΟΠΟΘΕΤΗΣΗ ΘΗΛΙΑΣ ΕΠΙ ΣΤΥΛΟΥ</t>
  </si>
  <si>
    <t>ΤΕΡΜΑΤ ΑΥΤΟΣΤ ΚΑΛ 10'' ΣΕ ΧΚ,ΚΔ,Εισ</t>
  </si>
  <si>
    <t>5373</t>
  </si>
  <si>
    <t>ΕΝΣΦΗΝΩΣΗ ΖΕΥΓ ΣΕ ΣΤΟΧ ΤΕΡΜ KV ΝΤ ή ΒΟΧ</t>
  </si>
  <si>
    <t>1.5358.2   ΤΟΠ ΧΑΛΥΒ ή ΕΝΔ ΚΟΥΤ ΔΙΑΣ ΕΝ ΚΑΛ ΕΠΙ ΣΤΥ</t>
  </si>
  <si>
    <t>5375.1</t>
  </si>
  <si>
    <t>ΚΑΤΑΣ ΝΤΣ (PSTN,ISDN/PCM)-ΕΛΕΓΧ ΚΑΛ ΛΕΙΤ</t>
  </si>
  <si>
    <t>1.5360.1   ΤΟΠ ΣΤΕΦΑΝΗΣ ΑΥΤΟΣΤ ΚΑΛ ΣΕ ΣΤΥΛΟ-ΝΕΑ ΟΠΗ</t>
  </si>
  <si>
    <t>5375.2</t>
  </si>
  <si>
    <t>ΚΑΤΑΣΚ ΝΕΑΣ ΣΥΝΔΕΣΗΣ LLU-ΕΛΕΓΧ ΚΑΛ ΛΕΙΤ</t>
  </si>
  <si>
    <t>5401</t>
  </si>
  <si>
    <t>ΑΦΑΙΡ ΚΕΡΑΙΑΣ ή ΣΤΕΦ ΑΝΑΡΤ ΑΥΤ ΚΑΛ ή ΑΓΚ</t>
  </si>
  <si>
    <t>1.5365.1   ΤΟΠ ΑΓΚΙΣΤΡΩΝ ΑΝΑΡΤ ΑΥΤΟΣΤ ΚΑΛ-ΤΡΥΠ ΣΤΥΛ</t>
  </si>
  <si>
    <t>5403</t>
  </si>
  <si>
    <t>ΑΦΑΙΡ ΧΚ ή ΕΝΔ ΚΟΥΤ ΔΙΑΣ ΕΝ ΚΑΛ ΕΠΙ ΤΟΙ</t>
  </si>
  <si>
    <t>5405</t>
  </si>
  <si>
    <t>ΑΛΛΑΓΗ ΘΕΣ ΚΕΡΑΙΑΣ ΠΑΝΤΟΣ ΤΥΠ-ΙΔΙΟ ΣΤΥΛΟ</t>
  </si>
  <si>
    <t>1.5370.2   ΤΕΡΜΑΤΙΣΜΟΣ ΑΥΤΟΣΤ ΚΑΛ 5'' ΣΕ ΧΚ,ΚΔ,Εισ</t>
  </si>
  <si>
    <t>5411</t>
  </si>
  <si>
    <t>ΚΑΘΑΡΙΣΜΟ ΧΩΡΟΥ,ΕΞΑΣΦ ΠΡΟΣΒ ΣΕ ΔΙΑΤ ΔΙΚΤ</t>
  </si>
  <si>
    <t>1.6011.1   ΑΦ ΚΑΛΩΔ ΣΕ ΣΩΛ ΣΣ,ΜΣ,ΜΤ ΜΕ ΜΗΧ Ι ΚΑΤΗΓ</t>
  </si>
  <si>
    <t>6000</t>
  </si>
  <si>
    <t>ΕΡΓΑΣΙΑ ΑΡΧΑΙΟΛΟΓΟΥ ΕΝΟΣ ΗΜΕΡΟΛ/ΚΟΥ ΜΗΝΑ</t>
  </si>
  <si>
    <t>MON</t>
  </si>
  <si>
    <t>6000.1</t>
  </si>
  <si>
    <t>1.6011.2   ΑΦ ΚΑΛΩΔ ΣΕ ΣΩΛ ΣΣ,ΜΣ,ΜΤ ΜΕ ΜΗΧ ΙΙ ΚΑΤΗΓ</t>
  </si>
  <si>
    <t>ΕΠΙΔΟΜΑ ΑΔΕΙΑΣ ΑΡΧΑΙΟΛΟΓΟΥ</t>
  </si>
  <si>
    <t>1.6011.3   ΑΦ ΚΑΛΩΔ ΣΕ ΣΩΛ ΣΣ,ΜΣ,ΜΤ ΜΕ ΜΗΧ ΙΙΙ ΚΑΤΗ</t>
  </si>
  <si>
    <t>6000.2</t>
  </si>
  <si>
    <t>ΕΠΙΔΟΜΑ ΕΟΡΤΩΝ ΠΑΣΧΑ ΑΡΧΑΙΟΛΟΓΟΥ</t>
  </si>
  <si>
    <t>1.6012.1   ΑΦΑΙΡ ΚΑΛΩΔΙΩΝ ΣΕ ΣΣ,ΜΣ,ΜΤ Ι ΚΑΤΗΓΟΡΙΑΣ</t>
  </si>
  <si>
    <t>6000.3</t>
  </si>
  <si>
    <t>ΕΠΙΔΟΜΑ ΕΟΡΤΩΝ ΧΡΙΣΤΟΥΓΕΝΝΩΝ ΑΡΧΑΙΟΛΟΓΟΥ</t>
  </si>
  <si>
    <t>1.6012.2   ΑΦΑΙΡ ΚΑΛΩΔΙΩΝ ΣΕ ΣΣ,ΜΣ,ΜΤ ΙΙ ΚΑΤΗΓΟΡΙΑΣ</t>
  </si>
  <si>
    <t>6001.1</t>
  </si>
  <si>
    <t>ΤΟΠΟΘ ΚΑΛΩΔ ΣΕ ΤΦ, ΔΣ, ΣΩΛ Α' ΚΑΤΗΓΟΡΙΑΣ</t>
  </si>
  <si>
    <t>6001.2</t>
  </si>
  <si>
    <t>ΤΟΠΟΘ ΚΑΛΩΔ ΣΕ ΤΦ, ΔΣ, ΣΩΛ Β' ΚΑΤΗΓΟΡΙΑΣ</t>
  </si>
  <si>
    <t>1.6012.3   ΑΦΑΙΡ ΚΑΛΩΔΙΩΝ ΣΕ ΣΣ,ΜΣ,ΜΤ ΙΙΙΚΑΤΗΓΟΡΙΑΣ</t>
  </si>
  <si>
    <t>6001.3</t>
  </si>
  <si>
    <t>ΤΟΠΟΘ ΚΑΛΩΔ ΣΕ ΤΦ, ΔΣ, ΣΩΛ Γ' ΚΑΤΗΓΟΡΙΑΣ</t>
  </si>
  <si>
    <t>1.6015.1   ΑΦΑΙΡ ΚΑΛΩΔΙΩΝ ΑΠΟ ΚΤΙΡΙΑ Ι ΚΑΤΗΓΟΡΙΑΣ</t>
  </si>
  <si>
    <t>6001.4</t>
  </si>
  <si>
    <t>ΤΟΠΟΘ ΚΑΛΩΔ ΣΕ ΤΦ, ΔΣ, ΣΩΛ Δ' ΚΑΤΗΓΟΡΙΑΣ</t>
  </si>
  <si>
    <t>1.6015.2   ΑΦΑΙΡ ΚΑΛΩΔΙΩΝ ΑΠΟ ΚΤΙΡΙΑ ΙΙ ΚΑΤΗΓΟΡΙΑΣ</t>
  </si>
  <si>
    <t>6001.5</t>
  </si>
  <si>
    <t>ΤΟΠΟΘ ΚΑΛΩΔ ΣΕ ΤΦ, ΔΣ, ΣΩΛ Ε' ΚΑΤΗΓΟΡΙΑΣ</t>
  </si>
  <si>
    <t>1.6015.3   ΑΦΑΙΡ ΚΑΛΩΔΙΩΝ ΑΠΟ ΚΤΙΡΙΑ ΙΙΙ ΚΑΤΗΓΟΡΙΑΣ</t>
  </si>
  <si>
    <t>6002.1</t>
  </si>
  <si>
    <t>ΤΟΠΟΘ ΚΑΛΩΔ ΣΕ ΜΤ, ΜΣ, ΣΣ Ι ΚΑΤΗΓΟΡΙΑΣ</t>
  </si>
  <si>
    <t>1.6029.1   ΤΕΡΜΑΤΙΣΜΟΣ ΚΑΛΩΔ ΣΕ ΕΙΣΑΓΩΓΗ 10-100''</t>
  </si>
  <si>
    <t>6002.2</t>
  </si>
  <si>
    <t>ΤΟΠΟΘ ΚΑΛΩΔ ΣΕ ΜΤ, ΜΣ, ΣΣ ΙΙ ΚΑΤΗΓΟΡΙΑΣ</t>
  </si>
  <si>
    <t>1.6029.2   ΤΕΡΜΑΤΙΣΜΟΣ ΚΑΛΩΔ ΣΕ ΕΙΣΑΓΩΓΗ 150-300''</t>
  </si>
  <si>
    <t>6002.3</t>
  </si>
  <si>
    <t>ΤΟΠΟΘ ΚΑΛΩΔ ΣΕ ΜΤ, ΜΣ, ΣΣ ΙΙΙ ΚΑΤΗΓΟΡΙΑΣ</t>
  </si>
  <si>
    <t>1.6029.3   ΤΕΡΜΑΤΙΣΜΟΣ ΚΑΛΩΔΙΟΥ ΣΕ ΕΙΣΑΓΩΓΗ &gt;=400''</t>
  </si>
  <si>
    <t>6003.1</t>
  </si>
  <si>
    <t>ΤΟΠΟΘ ΚΑΛΩΔ ΣΕ ΕΚΦΥΛ Μ/Σ Ι ΚΑΤΗΓΟΡΙΑΣ</t>
  </si>
  <si>
    <t>6003.2</t>
  </si>
  <si>
    <t>ΤΟΠΟΘ ΚΑΛΩΔ ΣΕ ΕΚΦΥΛ Μ/Σ ΙΙ ΚΑΤΗΓΟΡΙΑΣ</t>
  </si>
  <si>
    <t>1.6031   ΚΑΤΑΣΚ ΓΕΙΩΣΗΣ ΑΝΤΙΚΕΡ/ΚΗΣ ΠΡΟΣΤ-2ΡΑΒΔΟΙ</t>
  </si>
  <si>
    <t>6003.3</t>
  </si>
  <si>
    <t>ΤΟΠΟΘ ΚΑΛΩΔ ΣΕ ΕΚΦΥΛ Μ/Σ ΙΙΙ ΚΑΤΗΓΟΡΙΑΣ</t>
  </si>
  <si>
    <t>1.6034   ΤΟΠΟΘΕΤΗΣΗ ΘΗΛΙΑΣ ΣΕ KV ή Εισ</t>
  </si>
  <si>
    <t>6004.1</t>
  </si>
  <si>
    <t>ΤΟΠ ΚΑΛΩΔ ΣΕ ΣΣ,ΜΣ,ΜΤ ΜΕ ΜΗΧ ΕΛΞ Ι ΚΑΤΗΓ</t>
  </si>
  <si>
    <t>6004.2</t>
  </si>
  <si>
    <t>ΤΟΠ ΚΑΛΩΔ ΣΕ ΣΣ,ΜΣ,ΜΤ ΜΕ ΜΗΧ ΕΛΞ ΙΙ ΚΑΤΗ</t>
  </si>
  <si>
    <t>1.6035   ΑΠΟΤΟΠΟΘΕΤΗΣΗ ΘΗΛΙΑΣ ΑΠΟ KV ή Εισ</t>
  </si>
  <si>
    <t>6004.3</t>
  </si>
  <si>
    <t>ΤΟΠ ΚΑΛΩΔ ΣΕ ΣΣ,ΜΣ,ΜΤ ΜΕ ΜΗΧ ΕΛΞ ΙΙΙ ΚΑΤ</t>
  </si>
  <si>
    <t>6005</t>
  </si>
  <si>
    <t>1.6036   ΑΝΤΙΚΑΤΑΣΤΑΣΗ ΟΔΗΓΩΝ ΚΑΤΑΝΕΜΗΤΩΝ  ΚΑΛΩΔ</t>
  </si>
  <si>
    <t>ΑΝΑΣΥΡΣΗ &amp; ΕΠΑΝΑΤΟΠΟΘΕΤΗΣΗ ΚΑΛΩΔΙΩΝ ΟΤΕ</t>
  </si>
  <si>
    <t>6011.1</t>
  </si>
  <si>
    <t>6012.1</t>
  </si>
  <si>
    <t>1.6037.1   ΕΛΕΓ &amp; ΕΞΩΤ ΑΝΑΚΑΤ ΣΥΝΔ ΜΕ ΤΟΠ ΘΕΡΜ/ΝΟΥ</t>
  </si>
  <si>
    <t>6017</t>
  </si>
  <si>
    <t>ΤΟΠΟΘ.ΣΤΕΓΝ.SHIEDED ΚΑΛΩΔ.ΣΥΝ.ΓΚ/ΦΣ</t>
  </si>
  <si>
    <t>1.6037.2   ΕΛΕΓ &amp; ΕΞΩΤ ΑΝΑΚΑΤ ΣΥΝΔ ΜΕ ΠΛΑΣ ΜΟΝ ΤΑΙΝ</t>
  </si>
  <si>
    <t>6019</t>
  </si>
  <si>
    <t>ΑΦΑΙΡ ΑΥΤΟΣΤΗΡ ΣΥΝΔΡ ΚΑΛ ΚΑΛΤΣΑ 2,5,10''</t>
  </si>
  <si>
    <t>1.6066   ΤΟΠΟΘ ΥΠΑΙΘΡΙΟΥ Τ/Φ ΗΜΙΘΑΛΑΜΟΥ ΣΕ ΠΥΛΩΝΑ</t>
  </si>
  <si>
    <t>6020.1</t>
  </si>
  <si>
    <t>ΤΟΠΟΘ ΚΥΚΛ 2 ΑΓΩΓΩΝ ΓΥΜΝΩΝ ή ΜΕ PVC</t>
  </si>
  <si>
    <t>1.6067   ΤΟΠΟΘ ΥΠΑΙΘΡΙΟΥ Τ/Φ  ΗΜΙΘΑΛΑΜΟΥ ΕΠΙ ΤΟΙΧ</t>
  </si>
  <si>
    <t>6020.2</t>
  </si>
  <si>
    <t>ΑΦΑΙΡΕΣΗ ΚΥΚΛ 2 ΑΓΩΓΩΝ ΓΥΜΝΩΝ ή ΜΕ PVC</t>
  </si>
  <si>
    <t>1.6068   ΤΟΠΟΘ.ΥΠ.ΤΦ ΗΜΙΘ.ΣΕ ΥΦ.ΠΥΛΩΝΑ Η ΣΤΥΛΙΣΚΟ</t>
  </si>
  <si>
    <t>6021.1</t>
  </si>
  <si>
    <t>ΤΟΠΟΘ ΕΝΑΕΡΙΩΝ ΑΥΤΟΣ ΚΑΛ Τ8  &lt;30'' &lt;Φ0,8</t>
  </si>
  <si>
    <t>1.6069   ΑΠΟΤΟΠΟΘΕΤΗΣΗ (ΑΦΑΙΡΕΣΗ) Τ/Φ ΗΜΙΘΑΛΑΜΟΥ</t>
  </si>
  <si>
    <t>6021.2</t>
  </si>
  <si>
    <t>ΤΟΠΟΘ ΕΝΑΕΡΙΩΝ ΑΥΤΟΣ ΚΑΛ Τ8  &gt;30'' &lt;Φ0,8</t>
  </si>
  <si>
    <t>6021.3</t>
  </si>
  <si>
    <t>ΤΟΠ ΕΝΑΕΡ ΚΑΛ ΤΥΠ ΚΑΛΤΣΑΣ 1 &amp; 2'' / Φ0,6</t>
  </si>
  <si>
    <t>1.6072.1   ΠΡΟΜ/ΤΟΠ ΜΕΤ ΕΣΧ ΟΔ ΚΑΛΩΔ &lt; 100Χ50Χ1mm</t>
  </si>
  <si>
    <t>6021.4</t>
  </si>
  <si>
    <t>ΤΟΠΟΘ ΕΝΑΕΡ ΚΑΛΩΔ ΤΥΠ ΚΑΛΤΣΑΣ 5'' / Φ0,6</t>
  </si>
  <si>
    <t>1.6072.2   ΠΡΟΜ/ΤΟΠ ΜΕΤ ΕΣΧ ΟΔ ΚΑΛΩΔ &lt; 200Χ50Χ1mm</t>
  </si>
  <si>
    <t>6021.5</t>
  </si>
  <si>
    <t>ΤΟΠΟΘ ΕΝΑΕΡ ΚΑΛΩΔ ΤΥΠ ΚΑΛΤΣΑΣ 10'' /Φ0,6</t>
  </si>
  <si>
    <t>1.6072.3   ΠΡΟΜ/ΤΟΠ ΜΕΤ ΕΣΧ ΟΔ ΚΑΛΩΔ &lt; 300Χ60Χ1mm</t>
  </si>
  <si>
    <t>6022.1</t>
  </si>
  <si>
    <t>ΑΠΟΞΗΛ ΕΝΑΕΡΙΩΝ ΑΥΤΟΣ ΚΑΛ Τ8 &lt;30'' &lt;Φ0,8</t>
  </si>
  <si>
    <t>1.6072.4   ΠΡΟΜ/ΤΟΠ ΜΕΤ ΕΣΧ ΟΔ ΚΑΛΩΔ &lt; 400Χ60Χ1mm</t>
  </si>
  <si>
    <t>6022.2</t>
  </si>
  <si>
    <t>ΑΠΟΞΗΛ ΕΝΑΕΡΙΩΝ ΑΥΤΟΣ ΚΑΛ Τ8 &gt;30'' &lt;Φ0,8</t>
  </si>
  <si>
    <t>1.6072.5   ΠΡΟΜ/ΤΟΠ ΜΕΤ ΕΣΧ ΟΔ ΚΑΛΩΔ &lt; 500Χ60Χ1,1mm</t>
  </si>
  <si>
    <t>6022.3</t>
  </si>
  <si>
    <t>ΑΠΟΞ  ΕΝΑΕΡ ΚΑΛ ΤΥΠ ΚΑΛΤΣΑΣ 1 ή 2''/Φ0,6</t>
  </si>
  <si>
    <t>1.6080   ΔΙΑΝ.ΟΠΗΣ ΣΕ ΠΛΑΚΑ ΣΚΥΡ.ΕΠΙΦ.ΕΩΣ 0,10m2</t>
  </si>
  <si>
    <t>1.6081   ΔΙΑΝ.ΟΠΗΣ ΣΕ ΤΟΙΧ.ΟΠΤΟΠΛ.ΕΠΙΦ.ΕΩΣ 0,10m2</t>
  </si>
  <si>
    <t>6022.4</t>
  </si>
  <si>
    <t>ΑΠΟΞΗΛ ΕΝΑΕΡ ΚΑΛΩΔ ΤΥΠ ΚΑΛΤΣΑΣ 5''/ Φ0,6</t>
  </si>
  <si>
    <t>1.6101   ΑΦΑΙΡ ΡΕΓΚΛΕΤ 100'' ΤΕΡΜ ΚΔ ΣΕ ΥΦΙΣΤ ONU</t>
  </si>
  <si>
    <t>6022.5</t>
  </si>
  <si>
    <t>ΑΠΟΞΗΛ  ΕΝΑΕΡ ΚΑΛΩΔ ΤΥΠ ΚΑΛΤΣΑ 10''/Φ0,6</t>
  </si>
  <si>
    <t>1.7070.1   ΚΑΤ ΣΥΝΔ ΒΡΑΔΥΚ ΚΟΙ ΜΗ ΜΟΝΟΚ ΔΙΑΧ 96 ΙΝΩ</t>
  </si>
  <si>
    <t>1.7070.2   ΚΑΤ ΣΥΝΔ ΒΡΑΔΥΚ ΚΟΙ ΜΗ ΜΟΝΟΚ ΔΙΑΧ 72 ΙΝΩ</t>
  </si>
  <si>
    <t>6023.1</t>
  </si>
  <si>
    <t>ΤΟΠ ΜΕ ΚΑΡΦΩΜΑ ΚΑΛ 2'' ΣΕ ΕΞΩΤ ΕΠΙΦ ΚΤΙΡ</t>
  </si>
  <si>
    <t>6023.2</t>
  </si>
  <si>
    <t>ΤΟΠ ΜΕ ΚΑΡΦΩΜΑ ΚΑΛ 5'' ΣΕ ΕΞΩΤ ΕΠΙΦ ΚΤΙΡ</t>
  </si>
  <si>
    <t>1.7070.3   ΚΑΤ ΣΥΝΔ ΒΡΑΔΥΚ ΚΟΙ ΜΗ ΜΟΝΟΚ ΔΙΑΧ 60 ΙΝΩ</t>
  </si>
  <si>
    <t>6023.3</t>
  </si>
  <si>
    <t>ΤΟΠ ΜΕ ΚΑΡΦΩΜΑ ΚΑΛ≥10'' ΣΕ ΕΞΩΤ ΕΠΙΦ ΚΤΙ</t>
  </si>
  <si>
    <t>1.7070.4   ΚΑΤ ΣΥΝΔ ΒΡΑΔΥΚ ΚΟΙ ΜΗ ΜΟΝΟΚ ΔΙΑΧ 36 ΙΝΩ</t>
  </si>
  <si>
    <t>6024.1</t>
  </si>
  <si>
    <t>ΑΠΟΞΗΛ ΚΑΡΦΩΤΩΝ ΑΥΤΟΣΤ ΣΥΝΔΡΟΜ ΚΑΛΩΔ 2''</t>
  </si>
  <si>
    <t>6024.2</t>
  </si>
  <si>
    <t>ΑΠΟΞΗΛ ΚΑΡΦΩΤΩΝ ΑΥΤΟΣΤ ΣΥΝΔΡΟΜ ΚΑΛΩΔ 5''</t>
  </si>
  <si>
    <t>1.7070.5   ΚΑΤ ΣΥΝΔ ΒΡΑΔΥΚ ΚΟΙ ΜΗ ΜΟΝΟΚ ΔΙΑΧ 24 ΙΝΩ</t>
  </si>
  <si>
    <t>6024.3</t>
  </si>
  <si>
    <t>ΑΠΟΞΗΛ ΚΑΡΦΩΤΩΝ ΑΥΤΟΣ ΣΥΝΔΡΟΜ ΚΑΛΩΔ 10''</t>
  </si>
  <si>
    <t>1.7080.1   ΚΑΤ ΣΥΝΔ ΒΡΑΔΥΚ ΚΟΙ ΜΟΝΟΚΥΚΛ ΔΙΑΧ 96 ΙΝΩ</t>
  </si>
  <si>
    <t>6025</t>
  </si>
  <si>
    <t>ΣΤΗΡ ΚΑΛ ΣΕ ΥΦ ΚΑΛ ΤΥΠ ΚΑΛΤΣΑ 2, 5, 10''</t>
  </si>
  <si>
    <t>1.7080.2   ΚΑΤ ΣΥΝΔ ΒΡΑΔΥΚ ΚΟΙ ΜΟΝΟΚΥΚΛ ΔΙΑΧ 72 ΙΝΩ</t>
  </si>
  <si>
    <t>6026.1</t>
  </si>
  <si>
    <t>KΑΤΑΣΚ ΕΥΘ ΣΥΝΔΕΣΜΟΥ 10'' ΕΠΙ ΑΝΥΨ ΚΑΛΩΔ</t>
  </si>
  <si>
    <t>1.7080.3   ΚΑΤ ΣΥΝΔ ΒΡΑΔΥΚ ΚΟΙ ΜΟΝΟΚΥΚΛ ΔΙΑΧ 60 ΙΝΩ</t>
  </si>
  <si>
    <t>6026.2</t>
  </si>
  <si>
    <t>KΑΤΑΣΚ ΕΥΘ ΣΥΝΔΕΣΜΟΥ 20'' ΕΠΙ ΑΝΥΨ ΚΑΛΩΔ</t>
  </si>
  <si>
    <t>1.7080.4   ΚΑΤ ΣΥΝΔ ΒΡΑΔΥΚ ΚΟΙ ΜΟΝΟΚΥΚΛ ΔΙΑΧ 36 ΙΝΩ</t>
  </si>
  <si>
    <t>1.7080.5   ΚΑΤ ΣΥΝΔ ΒΡΑΔΥΚ ΚΟΙ ΜΟΝΟΚΥΚΛ ΔΙΑΧ 24 ΙΝΩ</t>
  </si>
  <si>
    <t>6026.3</t>
  </si>
  <si>
    <t>KΑΤΑΣΚ ΕΥΘ ΣΥΝΔΕΣΜΟΥ 30'' ΕΠΙ ΑΝΥΨ ΚΑΛΩΔ</t>
  </si>
  <si>
    <t>1.7157.1   ΚΑΤΑΣΚ ΣΥΝΔ ΜΙΚΤΟΝΟΜΗΣΗΣ PATCH CORD 2-5m</t>
  </si>
  <si>
    <t>6026.4</t>
  </si>
  <si>
    <t>KΑΤΑΣΚ ΕΥΘ ΣΥΝΔΕΣΜΟΥ 50'' ΕΠΙ ΑΝΥΨ ΚΑΛΩΔ</t>
  </si>
  <si>
    <t>1.7157.2   ΚΑΤΑΣΚ ΣΥΝΔ ΜΙΚΤΟΝΟΜΗΣΗ PATCH CORD 6-12m</t>
  </si>
  <si>
    <t>6027</t>
  </si>
  <si>
    <t>ΤΟΠΟΘ ΣΤΟΙΧ ΤΕΡΜΑΤ 10'' ΣΕ KV/ΚΔ/Εισ/ΓΚ</t>
  </si>
  <si>
    <t>1.7157.3   ΚΑΤΑΣΚ ΣΥΝΔ ΜΙΚΤΟΝΟΜΗΣΗΣ PATCH CORD &gt;13m</t>
  </si>
  <si>
    <t>6028</t>
  </si>
  <si>
    <t>ΤΕΡΜ ΚΑΛ &lt;100'' ΣΕ KOYT ΔΙΑΝ ΝΤ/ΕΝΔ ΚΟΥΤ</t>
  </si>
  <si>
    <t>6029.1</t>
  </si>
  <si>
    <t>ΤΕΡΜ ΚΑΛΩΔ Φ0,4-0,6 ΣΕ ΕΙΣΑΓΩΓΗ 10-100''</t>
  </si>
  <si>
    <t>1.7160   ΣΥΝΔΕΣΗ ΣΩΛΙΝΙΣΚΩΝ  ΟΠΟΙΑΔ ΤΥΠ ΣΕ ΦΡΕΑΤ</t>
  </si>
  <si>
    <t>6030</t>
  </si>
  <si>
    <t>ΚΑΤΑΣ ΓΕΙΩΣΗ ΑΝΤΙΚΕΡ/ΚΗΣ ΠΡΟΣΤ-ΑΝΑ ΡΑΒΔΟ</t>
  </si>
  <si>
    <t>1.7161   ΣΥΝΔΕΣΗ ΣΩΛΙΝΙΣΚΩΝ  ΟΠΟΙΑΔ ΤΥΠ ΣΕ ΤΑΦΡΟ</t>
  </si>
  <si>
    <t>6032</t>
  </si>
  <si>
    <t>ΚΑΤ ΓΕΙΩΣ ΑΝΤΙΚ/ΚΗΣ ΠΡΟΣΤ-ΧΑΛ ΣΥΡΜ/1ΡΑΒΔ</t>
  </si>
  <si>
    <t>6033.1</t>
  </si>
  <si>
    <t>ΚΑΤΑΣΚΕΥΗ ΝΕΑΣ ΜΙΚΤΟΝΟΜΗΣΗΣ ΣΕ KV ή Εισ</t>
  </si>
  <si>
    <t>1.7165   ΠΡΟΜ &amp; ΤΟΠ ΟΜΑΔ ΠΛ ΣΩΛΗΝΙΣΚΩΝ ΣΕ ΥΦ ΣΩΛ</t>
  </si>
  <si>
    <t>6033.2</t>
  </si>
  <si>
    <t>ΑΠΟΞΗΛ ΠΑΛΑΙΑΣ ΜΙΚΤΟΝΟΜΗΣΗΣ ΑΠΟ KV ή Εισ</t>
  </si>
  <si>
    <t>6038</t>
  </si>
  <si>
    <t>ΤΟΠΟΘΕΤ ΒΑΣΗΣ ΣΤΟΙΧΕΙΟΥ 10-100'' ΣΕ ΕΙΣΑ</t>
  </si>
  <si>
    <t>6039</t>
  </si>
  <si>
    <t>ΔΟΚΙΜΗ ΝΕΑΣ ΑΤΟΜ ΓΡΑΜΜΗΣ ΧΩΡΙΣ ΜΕΤΑΤΡΟΠΗ</t>
  </si>
  <si>
    <t>6040</t>
  </si>
  <si>
    <t>ΕΠΙΣΚ ΕΠΙΦ ΦΡΕΑ ΧΡΗΣΗ ΓΕΩΚ ΔΡΟΜ ΜΕΓ ΚΥΚΛ</t>
  </si>
  <si>
    <t>6065</t>
  </si>
  <si>
    <t>ΜΕΤΑΦ ΚΑΙ ΕΓΚ ΥΠΑΙΘΡΙΟΥ Τ/Φ ΗΜΙΘΑΛΑΜΟΥ</t>
  </si>
  <si>
    <t>6070</t>
  </si>
  <si>
    <t>ΑΠΟΤΟΠΟΘ Τ/Φ ΗΜΙΘΑΛΑΜΟ ΜΟΝΟ ή &amp; ΠΥΛ/ΣΤΥΛ</t>
  </si>
  <si>
    <t>6111</t>
  </si>
  <si>
    <t>ΜΕΤΡΗΣΗ CAL ΣΕ ΜΟΝ ΔΙΚΤΥΟΥ ΚΑΜΠΙΝΕΣ ή ΚΚ</t>
  </si>
  <si>
    <t>6115</t>
  </si>
  <si>
    <t>ΜΕΤΑΓΩΓ ΣΥΝΔ ΑΠΌ ATM ΣΕ ETH DSLAM ΓΚ Α/Κ</t>
  </si>
  <si>
    <t>6121</t>
  </si>
  <si>
    <t>ΜΕΤΑΓΩΓΗ ΣΥΝΔ ΑΠΌ DSLAM Α/Κ ΣΕ ΚΑΜΠ NGA</t>
  </si>
  <si>
    <t>6201</t>
  </si>
  <si>
    <t>ΑΠΕΓ ΣΕΥΚ ΑΠΟ KV–ΕΓΚ ΣΕΥΚ ΣΕ ΝΕΑ ΚΑΜΠ/KV</t>
  </si>
  <si>
    <t>6211</t>
  </si>
  <si>
    <t>ΜΕΤΡΗΣΗ ΣΤΑΘΜ ΘΟΡΥΒΟΥ ΚΑΜΠ, ΕΚΔ ΠΙΣΤΟΠΟΙ</t>
  </si>
  <si>
    <t>7010.1</t>
  </si>
  <si>
    <t>ΚΑΤ ΕΥΘ ΣΥΝ ΚΟΙ ΜΟΝ ήΜΗ ΔΙΑΧ, ΒΡΑΔ 96 ΙΝ</t>
  </si>
  <si>
    <t>7010.2</t>
  </si>
  <si>
    <t>ΚΑΤ ΕΥΘ ΣΥΝ ΚΟΙ ΜΟΝ ήΜΗ ΔΙΑΧ, ΒΡΑΔ 72 ΙΝ</t>
  </si>
  <si>
    <t>7010.3</t>
  </si>
  <si>
    <t>ΚΑΤ ΕΥΘ ΣΥΝ ΚΟΙ ΜΟΝ ήΜΗ ΔΙΑΧ, ΒΡΑΔ 60 ΙΝ</t>
  </si>
  <si>
    <t>7010.4</t>
  </si>
  <si>
    <t>ΚΑΤ ΕΥΘ ΣΥΝ ΚΟΙ ΜΟΝ ήΜΗ ΔΙΑΧ, ΒΡΑΔ 48 ΙΝ</t>
  </si>
  <si>
    <t>7010.5</t>
  </si>
  <si>
    <t>ΚΑΤ ΕΥΘ ΣΥΝ ΚΟΙ ΜΟΝ ήΜΗ ΔΙΑΧ, ΒΡΑΔ 36 ΙΝ</t>
  </si>
  <si>
    <t>7010.6</t>
  </si>
  <si>
    <t>ΚΑΤ ΕΥΘ ΣΥΝ ΚΟΙ ΜΟΝ ήΜΗ ΔΙΑΧ, ΒΡΑΔ 24 ΙΝ</t>
  </si>
  <si>
    <t>7010.7</t>
  </si>
  <si>
    <t>ΚΑΤ ΕΥΘ ΣΥΝ ΚΟΙ ΜΟΝ ήΜΗ ΔΙΑΧ, ΒΡΑΔ 12 ΙΝ</t>
  </si>
  <si>
    <t>7020.8</t>
  </si>
  <si>
    <t>ΚΑΤ ΕΥΘ ΣΥΝ ΚΟΙ ΜΟΝ ήΜΗ ΔΙΑΧ, ΒΡΑΔ 4 ΙΝΩ</t>
  </si>
  <si>
    <t>7030.1</t>
  </si>
  <si>
    <t>ΚΑΤ ΔΙΑΚΛ ΣΥΝΔ ΚΟΙ ΜΟΝΟΚ ή ΜΗ ΔΙΑΧ 96 ΙΝ</t>
  </si>
  <si>
    <t>7030.2</t>
  </si>
  <si>
    <t>ΚΑΤ ΔΙΑΚΛ ΣΥΝΔ ΚΟΙ ΜΟΝΟΚ ή ΜΗ ΔΙΑΧ 72 ΙΝ</t>
  </si>
  <si>
    <t>7030.3</t>
  </si>
  <si>
    <t>ΚΑΤ ΔΙΑΚΛ ΣΥΝΔ ΚΟΙ ΜΟΝΟΚ ή ΜΗ ΔΙΑΧ 60 ΙΝ</t>
  </si>
  <si>
    <t>7030.4</t>
  </si>
  <si>
    <t>ΚΑΤ ΔΙΑΚΛ ΣΥΝΔ ΚΟΙ ΜΟΝΟΚ ή ΜΗ ΔΙΑΧ 36 ΙΝ</t>
  </si>
  <si>
    <t>7030.5</t>
  </si>
  <si>
    <t>ΚΑΤ ΔΙΑΚΛ ΣΥΝΔ ΚΟΙ ΜΟΝΟΚ ή ΜΗ ΔΙΑΧ 24 ΙΝ</t>
  </si>
  <si>
    <t>7030.6</t>
  </si>
  <si>
    <t>ΚΑΤ ΔΙΑΚΛ ΣΥΝΔ ΚΟΙ ΜΟΝΟΚ ή ΜΗ ΔΙΑΧ 12 ΙΝ</t>
  </si>
  <si>
    <t>7050.1</t>
  </si>
  <si>
    <t>ΑΠΟΜ ΙΝΩΝ ΥΦ ΣΥΝΔ ΚΟΙ ΜΗ ΜΟΝ ΔΙΑΧ 12 ΙΝ</t>
  </si>
  <si>
    <t>7050.2</t>
  </si>
  <si>
    <t>ΑΠΟΜ ΙΝΩΝ ΥΦ ΣΥΝΔ ΚΟΙ ΜΗ ΜΟΝ ΔΙΑΧ 24 ΙΝ</t>
  </si>
  <si>
    <t>7050.3</t>
  </si>
  <si>
    <t>ΑΠΟΜ ΙΝΩΝ ΥΦ ΣΥΝΔ ΚΟΙ ΜΗ ΜΟΝ ΔΙΑΧ 36 ΙΝ</t>
  </si>
  <si>
    <t>7050.4</t>
  </si>
  <si>
    <t>ΑΠΟΜ ΙΝΩΝ ΥΦ ΣΥΝΔ ΚΟΙ ΜΗ ΜΟΝ ΔΙΑΧ 60 ΙΝ</t>
  </si>
  <si>
    <t>7050.5</t>
  </si>
  <si>
    <t>ΑΠΟΜ ΙΝΩΝ ΥΦ ΣΥΝΔ ΚΟΙ ΜΗ ΜΟΝ ΔΙΑΧ 72 ΙΝ</t>
  </si>
  <si>
    <t>7060.1</t>
  </si>
  <si>
    <t>ΑΠΟΜ ΙΝΩΝ ΥΦ ΣΥΝΔ ΚΟΙ ΜΟΝΟΚ ΔΙΑΧ 12 ΙΝ</t>
  </si>
  <si>
    <t>7060.2</t>
  </si>
  <si>
    <t>ΑΠΟΜ ΙΝΩΝ ΥΦ ΣΥΝΔ ΚΟΙ ΜΟΝΟΚ ΔΙΑΧ 24 ΙΝ</t>
  </si>
  <si>
    <t>7060.3</t>
  </si>
  <si>
    <t>ΑΠΟΜ ΙΝΩΝ ΥΦ ΣΥΝΔ ΚΟΙ ΜΟΝΟΚ ΔΙΑΧ 36 ΙΝ</t>
  </si>
  <si>
    <t>7060.4</t>
  </si>
  <si>
    <t>ΑΠΟΜ ΙΝΩΝ ΥΦ ΣΥΝΔ ΚΟΙ ΜΟΝΟΚ ΔΙΑΧ 60 ΙΝ</t>
  </si>
  <si>
    <t>7060.5</t>
  </si>
  <si>
    <t>ΑΠΟΜ ΙΝΩΝ ΥΦ ΣΥΝΔ ΚΟΙ ΜΟΝΟΚ ΔΙΑΧ 72 ΙΝ</t>
  </si>
  <si>
    <t>7110.1</t>
  </si>
  <si>
    <t>ΤΕΡΜ ΚΟΙ/mKOI ΜΟΝ ή ΜΗ ΔΙΑΧ ODF/ONU 96 Ι</t>
  </si>
  <si>
    <t>7110.2</t>
  </si>
  <si>
    <t>ΤΕΡΜ ΚΟΙ/mKOI ΜΟΝ ή ΜΗ ΔΙΑΧ ODF/ONU 72 Ι</t>
  </si>
  <si>
    <t>7110.3</t>
  </si>
  <si>
    <t>ΤΕΡΜ ΚΟΙ/mKOI ΜΟΝ ή ΜΗ ΔΙΑΧ ODF/ONU 60 Ι</t>
  </si>
  <si>
    <t>7110.4</t>
  </si>
  <si>
    <t>ΤΕΡΜ ΚΟΙ/mKOI ΜΟΝ ή ΜΗ ΔΙΑΧ ODF/ONU 36 Ι</t>
  </si>
  <si>
    <t>7110.5</t>
  </si>
  <si>
    <t>ΤΕΡΜ ΚΟΙ/mKOI ΜΟΝ ή ΜΗ ΔΙΑΧ ODF/ONU 24 Ι</t>
  </si>
  <si>
    <t>7110.6</t>
  </si>
  <si>
    <t>ΤΕΡΜ ΚΟΙ/mKOI ΜΟΝ ή ΜΗ ΔΙΑΧ ODF/ONU 12 Ι</t>
  </si>
  <si>
    <t>7110.7</t>
  </si>
  <si>
    <t>ΤΕΡΜ ΚΟΙ/mKOI ΜΟΝ ή ΜΗ ΔΙΑΧ ODF/ONU 4 ΙΝ</t>
  </si>
  <si>
    <t>7151</t>
  </si>
  <si>
    <t>ΤΕΡΜ ΟΙ ΣΕ ODF ή ΜΟΔ,ΕΣΩΤ ή ΥΠΑΙΘΡ ΕΓΚΑΤ</t>
  </si>
  <si>
    <t>7155</t>
  </si>
  <si>
    <t>ΜΕΤΡΗΣΕΙΣ Ο.Ι. ΜΕ OTDR ΚΑΙ ΠΟΜΠΟΔΕΚΤΗ</t>
  </si>
  <si>
    <t>7210</t>
  </si>
  <si>
    <t>ΤΟΠΟΘ ΙΚΡΙΩΜΑΤΟΣ ΟΠΤΙΚΟΥ ΚΑΤΑΝΕΜΗΤ ΣΕ ΑΚ</t>
  </si>
  <si>
    <t>7220</t>
  </si>
  <si>
    <t>ΤΟΠΟΘ ΚΟΥΤ ΤΕΡΜΑΤ ΚΟΙ/mKOI ΣΕ ΚΤΙΡ ΠΕΛΑΤ</t>
  </si>
  <si>
    <t>7310.1</t>
  </si>
  <si>
    <t>ΤΟΠΟΘ ΚΟΙ ή mKOI ΣΕ ΠΛ.ΣΩΛ ΤΑΦΡ/ΜΤ/ΟΜΣ</t>
  </si>
  <si>
    <t>7310.2</t>
  </si>
  <si>
    <t>ΤΟΠΟΘ ΚΟΙ ή mKOI ΣΕ ΠΛ.ΣΩΛ ΣΣ/ΟΜΣ</t>
  </si>
  <si>
    <t>7310.3</t>
  </si>
  <si>
    <t>ΤΟΠ ΚΟΙ ή mKOI ΣΕ ΠΛ.ΣΩΛ ΥΦ ΕΚΦΥΛΙΣΜ Μ/Σ</t>
  </si>
  <si>
    <t>7310.4</t>
  </si>
  <si>
    <t>ΤΟΠ ΚΟΙ ή mKOI ΣΕ ΣΧΑΡΑ,ΚΑΝΑΛ,ΨΕΥΔΟΡ,ΣΩΛ</t>
  </si>
  <si>
    <t>7350</t>
  </si>
  <si>
    <t>ΤΟΠΟΘΕΤΗΣΗ ΕΝΑΕΡΙΩΝ ΚΟΙ 12 ΙΝΩΝ</t>
  </si>
  <si>
    <t>7360</t>
  </si>
  <si>
    <t>ΑΠΟΤΟΠ ΚΟΙ/mΚΟΙ ΑΠΟ ΠΛΑΣ ΣΩΛ ΣΤΟ ΕΔΑΦΟΣ</t>
  </si>
  <si>
    <t>8000.1</t>
  </si>
  <si>
    <t>ΑΠΟΤ ΕΓΚΑΤ ΤΗΛ ΔΙΚΤ&amp;ΣΥΝΤ ΣΧΕΔ ΜΕ ΤΟΠ ΥΠ</t>
  </si>
  <si>
    <t>8000.2</t>
  </si>
  <si>
    <t>ΑΠΟΤ ΕΓΚ ΤΗΛ ΔΙΚΤ&amp;ΣΥΝΤ ΣΧΕΔ ΧΩΡΙΣ ΤΟΠ ΥΠ</t>
  </si>
  <si>
    <t>8010.1</t>
  </si>
  <si>
    <t>ΑΠΟΤ ΕΓΚ ΔΙΚΤ&amp;ΣΥΝΤ ΣΧΕΔ ΥΦ ΥΠ ΜΕ ΤΟΠ ΥΠ</t>
  </si>
  <si>
    <t>8010.2</t>
  </si>
  <si>
    <t>ΑΠ ΕΓΚ ΤΗΛ ΔΙΚΤ&amp;ΣΥΝΤ ΣΧ ΥΦ ΥΠ ΧΩΡ ΤΟΠ ΥΠ</t>
  </si>
  <si>
    <t>8020.1</t>
  </si>
  <si>
    <t>ΑΠΟΤ ΕΓΚ ΔΙΚΤ ΑΝΑΛ&amp; ΣΧΕΔ ΥΦ ΥΠ ΜΕ ΤΟΠ ΥΠ</t>
  </si>
  <si>
    <t>8020.2</t>
  </si>
  <si>
    <t>ΑΠΟΤ ΕΓΚ ΔΙΚΤ ΑΝΑΛ&amp;ΣΧΕΔ ΥΦ ΥΠ ΧΩΡ ΤΟΠ ΥΠ</t>
  </si>
  <si>
    <t>8025.1</t>
  </si>
  <si>
    <t>ΕΓΚ DSLAM ΜΕ ΣΥΝΔΡΟΜΗΤΙΚΗ ΚΑΛΩΔ 3 ΚΑΡΤΩΝ</t>
  </si>
  <si>
    <t>8025.2</t>
  </si>
  <si>
    <t>ΕΓΚ DSLAM ΜΕ ΣΥΝΔΡ ΠΡΟΚΑΛΩΔΙΩΣΗ 3 ΚΑΡΤΩΝ</t>
  </si>
  <si>
    <t>8030.1</t>
  </si>
  <si>
    <t>ΕΓΚ ΕΠΙΠΛΕΟΝ ΣΥΝΔΡΟΜ ΚΑΡΤΑ ΣΕ ΑΡΧΙΚΗ ΕΓΚ</t>
  </si>
  <si>
    <t>8030.2</t>
  </si>
  <si>
    <t>ΕΓΚ ΕΠΙΠΛΕΟΝ ΣΥΝΔΡΟΜ ΚΑΡΤΑ ΣΕ ΥΦΙΣΤ ΕΓΚ</t>
  </si>
  <si>
    <t>8040</t>
  </si>
  <si>
    <t>ΕΝΕΡΓΟΠΟΙΗΣΗ DSLAM ΚΑΙ RMU ΚΑΜΠΙΝΑΣ</t>
  </si>
  <si>
    <t>GeneralUse</t>
  </si>
  <si>
    <t>ΥΠΗΡΕΣΊΑ ΓΕΝΙΚΗΣ ΧΡΉΣΗΣ</t>
  </si>
  <si>
    <t>Ν4611.1</t>
  </si>
  <si>
    <t>ΑΝΟΙΓΜΑ ΚΑΛΩΔΙΟΥ/ΣΥΝΔ ΣΕ ΤΑΦΡΟ 10-100''</t>
  </si>
  <si>
    <t>Ν4611.2</t>
  </si>
  <si>
    <t>ΑΝΟΙΓΜΑ ΚΑΛΩΔΙΟΥ/ΣΥΝΔ ΣΕ ΤΑΦΡΟ 150-350''</t>
  </si>
  <si>
    <t>Ν4611.3</t>
  </si>
  <si>
    <t>ΑΝΟΙΓΜΑ ΚΑΛΩΔ/ΣΥΝΔ ΣΕ ΤΑΦΡΟ 400-1000''</t>
  </si>
  <si>
    <t>Ν4611.4</t>
  </si>
  <si>
    <t>ΑΝΟΙΓΜΑ ΚΑΛΩΔ/ΣΥΝΔ ΣΕ ΤΑΦΡΟ 1200-2400''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</si>
</sst>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 &quot;€&quot;"/>
  </numFmts>
  <fonts count="24">
    <font>
      <sz val="11.0"/>
      <color theme="1"/>
      <name val="Calibri"/>
      <scheme val="minor"/>
    </font>
    <font>
      <b/>
      <sz val="10.0"/>
      <color theme="1"/>
      <name val="Calibri"/>
    </font>
    <font>
      <b/>
      <i/>
      <sz val="12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rgb="FF000000"/>
      <name val="Calibri"/>
    </font>
    <font>
      <b/>
      <u/>
      <sz val="10.0"/>
      <color rgb="FF000000"/>
      <name val="Calibri"/>
    </font>
    <font>
      <b/>
      <u/>
      <sz val="10.0"/>
      <color rgb="FF000000"/>
      <name val="Calibri"/>
    </font>
    <font>
      <b/>
      <u/>
      <sz val="10.0"/>
      <color rgb="FF000000"/>
      <name val="Calibri"/>
    </font>
    <font>
      <b/>
      <u/>
      <sz val="10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sz val="11.0"/>
      <color rgb="FFFFFFFF"/>
      <name val="Calibri"/>
    </font>
    <font>
      <b/>
      <sz val="8.0"/>
      <color theme="1"/>
      <name val="Calibri"/>
    </font>
    <font>
      <sz val="9.0"/>
      <color theme="1"/>
      <name val="Calibri"/>
    </font>
    <font>
      <color rgb="FF000000"/>
      <name val="Calibri"/>
      <scheme val="minor"/>
    </font>
    <font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DEEAF6"/>
        <bgColor rgb="FFDEEAF6"/>
      </patternFill>
    </fill>
    <fill>
      <patternFill patternType="solid">
        <fgColor rgb="FF85200C"/>
        <bgColor rgb="FF85200C"/>
      </patternFill>
    </fill>
    <fill>
      <patternFill patternType="solid">
        <fgColor rgb="FFB45F06"/>
        <bgColor rgb="FFB45F06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rgb="FF8E7CC3"/>
        <bgColor rgb="FF8E7CC3"/>
      </patternFill>
    </fill>
    <fill>
      <patternFill patternType="solid">
        <fgColor theme="9"/>
        <bgColor theme="9"/>
      </patternFill>
    </fill>
    <fill>
      <patternFill patternType="solid">
        <fgColor rgb="FFA64D79"/>
        <bgColor rgb="FFA64D79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EF2CB"/>
        <bgColor rgb="FFFEF2CB"/>
      </patternFill>
    </fill>
  </fills>
  <borders count="58">
    <border/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000000"/>
      </left>
      <right/>
      <top style="double">
        <color rgb="FF000000"/>
      </top>
      <bottom/>
    </border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double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3" fontId="2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3" fontId="1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4" fillId="2" fontId="1" numFmtId="164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0" fillId="4" fontId="4" numFmtId="0" xfId="0" applyAlignment="1" applyFill="1" applyFont="1">
      <alignment horizontal="left" vertical="center"/>
    </xf>
    <xf borderId="0" fillId="0" fontId="4" numFmtId="0" xfId="0" applyFont="1"/>
    <xf borderId="0" fillId="4" fontId="4" numFmtId="0" xfId="0" applyAlignment="1" applyFont="1">
      <alignment horizontal="center" vertical="center"/>
    </xf>
    <xf borderId="16" fillId="3" fontId="1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center" vertical="center"/>
    </xf>
    <xf borderId="17" fillId="5" fontId="4" numFmtId="0" xfId="0" applyAlignment="1" applyBorder="1" applyFill="1" applyFont="1">
      <alignment horizontal="center" vertical="center"/>
    </xf>
    <xf borderId="18" fillId="3" fontId="1" numFmtId="0" xfId="0" applyAlignment="1" applyBorder="1" applyFont="1">
      <alignment horizontal="left" shrinkToFit="0" vertical="center" wrapText="1"/>
    </xf>
    <xf borderId="19" fillId="2" fontId="1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shrinkToFit="0" vertical="center" wrapText="1"/>
    </xf>
    <xf borderId="17" fillId="6" fontId="4" numFmtId="1" xfId="0" applyAlignment="1" applyBorder="1" applyFill="1" applyFont="1" applyNumberFormat="1">
      <alignment horizontal="left" vertical="center"/>
    </xf>
    <xf borderId="20" fillId="0" fontId="1" numFmtId="0" xfId="0" applyAlignment="1" applyBorder="1" applyFont="1">
      <alignment horizontal="center" shrinkToFit="0" vertical="center" wrapText="1"/>
    </xf>
    <xf borderId="17" fillId="5" fontId="4" numFmtId="49" xfId="0" applyAlignment="1" applyBorder="1" applyFont="1" applyNumberFormat="1">
      <alignment horizontal="left" vertical="center"/>
    </xf>
    <xf borderId="20" fillId="3" fontId="1" numFmtId="0" xfId="0" applyAlignment="1" applyBorder="1" applyFont="1">
      <alignment horizontal="left" shrinkToFit="0" vertical="center" wrapText="1"/>
    </xf>
    <xf borderId="17" fillId="5" fontId="4" numFmtId="49" xfId="0" applyAlignment="1" applyBorder="1" applyFont="1" applyNumberFormat="1">
      <alignment horizontal="center" vertical="center"/>
    </xf>
    <xf borderId="21" fillId="0" fontId="4" numFmtId="164" xfId="0" applyBorder="1" applyFont="1" applyNumberFormat="1"/>
    <xf borderId="9" fillId="0" fontId="5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5" numFmtId="0" xfId="0" applyAlignment="1" applyBorder="1" applyFont="1">
      <alignment horizontal="center" shrinkToFit="0" vertical="center" wrapText="1"/>
    </xf>
    <xf borderId="20" fillId="5" fontId="4" numFmtId="0" xfId="0" applyAlignment="1" applyBorder="1" applyFont="1">
      <alignment horizontal="center" vertical="center"/>
    </xf>
    <xf borderId="7" fillId="6" fontId="6" numFmtId="1" xfId="0" applyAlignment="1" applyBorder="1" applyFont="1" applyNumberFormat="1">
      <alignment horizontal="left" vertical="center"/>
    </xf>
    <xf borderId="24" fillId="0" fontId="3" numFmtId="0" xfId="0" applyBorder="1" applyFont="1"/>
    <xf borderId="25" fillId="0" fontId="3" numFmtId="0" xfId="0" applyBorder="1" applyFont="1"/>
    <xf borderId="12" fillId="5" fontId="6" numFmtId="0" xfId="0" applyAlignment="1" applyBorder="1" applyFont="1">
      <alignment horizontal="center" vertical="center"/>
    </xf>
    <xf borderId="20" fillId="6" fontId="4" numFmtId="1" xfId="0" applyAlignment="1" applyBorder="1" applyFont="1" applyNumberFormat="1">
      <alignment horizontal="left" vertical="center"/>
    </xf>
    <xf borderId="12" fillId="5" fontId="6" numFmtId="2" xfId="0" applyAlignment="1" applyBorder="1" applyFont="1" applyNumberFormat="1">
      <alignment horizontal="right" vertical="center"/>
    </xf>
    <xf borderId="26" fillId="3" fontId="1" numFmtId="0" xfId="0" applyAlignment="1" applyBorder="1" applyFont="1">
      <alignment horizontal="left" vertical="center"/>
    </xf>
    <xf borderId="20" fillId="5" fontId="4" numFmtId="49" xfId="0" applyAlignment="1" applyBorder="1" applyFont="1" applyNumberFormat="1">
      <alignment horizontal="left" vertical="center"/>
    </xf>
    <xf borderId="27" fillId="3" fontId="1" numFmtId="0" xfId="0" applyAlignment="1" applyBorder="1" applyFont="1">
      <alignment horizontal="left" shrinkToFit="0" vertical="center" wrapText="1"/>
    </xf>
    <xf borderId="20" fillId="5" fontId="4" numFmtId="49" xfId="0" applyAlignment="1" applyBorder="1" applyFont="1" applyNumberFormat="1">
      <alignment horizontal="center" vertical="center"/>
    </xf>
    <xf borderId="28" fillId="0" fontId="5" numFmtId="0" xfId="0" applyAlignment="1" applyBorder="1" applyFont="1">
      <alignment horizontal="center" shrinkToFit="0" vertical="center" wrapText="1"/>
    </xf>
    <xf borderId="12" fillId="5" fontId="6" numFmtId="164" xfId="0" applyAlignment="1" applyBorder="1" applyFont="1" applyNumberFormat="1">
      <alignment horizontal="right" vertical="center"/>
    </xf>
    <xf borderId="20" fillId="3" fontId="2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20" fillId="0" fontId="4" numFmtId="164" xfId="0" applyBorder="1" applyFont="1" applyNumberFormat="1"/>
    <xf borderId="30" fillId="0" fontId="3" numFmtId="0" xfId="0" applyBorder="1" applyFont="1"/>
    <xf borderId="23" fillId="0" fontId="1" numFmtId="0" xfId="0" applyAlignment="1" applyBorder="1" applyFont="1">
      <alignment horizontal="center" shrinkToFit="0" vertical="center" wrapText="1"/>
    </xf>
    <xf borderId="15" fillId="0" fontId="6" numFmtId="164" xfId="0" applyBorder="1" applyFont="1" applyNumberFormat="1"/>
    <xf borderId="31" fillId="3" fontId="7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3" fontId="8" numFmtId="0" xfId="0" applyAlignment="1" applyBorder="1" applyFont="1">
      <alignment horizontal="center" shrinkToFit="0" vertical="center" wrapText="1"/>
    </xf>
    <xf borderId="35" fillId="3" fontId="9" numFmtId="0" xfId="0" applyAlignment="1" applyBorder="1" applyFont="1">
      <alignment horizontal="center" shrinkToFit="0" vertical="center" wrapText="1"/>
    </xf>
    <xf borderId="36" fillId="3" fontId="10" numFmtId="0" xfId="0" applyAlignment="1" applyBorder="1" applyFont="1">
      <alignment horizontal="center" shrinkToFit="0" vertical="center" wrapText="1"/>
    </xf>
    <xf borderId="37" fillId="3" fontId="1" numFmtId="0" xfId="0" applyAlignment="1" applyBorder="1" applyFont="1">
      <alignment horizontal="left" vertical="center"/>
    </xf>
    <xf borderId="38" fillId="3" fontId="11" numFmtId="0" xfId="0" applyAlignment="1" applyBorder="1" applyFont="1">
      <alignment horizontal="center" shrinkToFit="0" vertical="center" wrapText="1"/>
    </xf>
    <xf borderId="39" fillId="3" fontId="1" numFmtId="0" xfId="0" applyAlignment="1" applyBorder="1" applyFont="1">
      <alignment horizontal="center" vertical="center"/>
    </xf>
    <xf borderId="40" fillId="3" fontId="6" numFmtId="0" xfId="0" applyAlignment="1" applyBorder="1" applyFont="1">
      <alignment horizontal="center" vertical="center"/>
    </xf>
    <xf borderId="41" fillId="3" fontId="12" numFmtId="0" xfId="0" applyAlignment="1" applyBorder="1" applyFont="1">
      <alignment horizontal="center" vertical="center"/>
    </xf>
    <xf borderId="16" fillId="0" fontId="6" numFmtId="0" xfId="0" applyAlignment="1" applyBorder="1" applyFont="1">
      <alignment vertical="center"/>
    </xf>
    <xf borderId="42" fillId="3" fontId="13" numFmtId="0" xfId="0" applyAlignment="1" applyBorder="1" applyFont="1">
      <alignment horizontal="center" shrinkToFit="0" vertical="center" wrapText="1"/>
    </xf>
    <xf borderId="20" fillId="6" fontId="6" numFmtId="0" xfId="0" applyAlignment="1" applyBorder="1" applyFont="1">
      <alignment horizontal="center" vertical="center"/>
    </xf>
    <xf borderId="43" fillId="3" fontId="14" numFmtId="0" xfId="0" applyAlignment="1" applyBorder="1" applyFont="1">
      <alignment horizontal="center" shrinkToFit="0" vertical="center" wrapText="1"/>
    </xf>
    <xf borderId="44" fillId="0" fontId="1" numFmtId="2" xfId="0" applyAlignment="1" applyBorder="1" applyFont="1" applyNumberFormat="1">
      <alignment horizontal="center" readingOrder="0" shrinkToFit="0" vertical="center" wrapText="1"/>
    </xf>
    <xf borderId="17" fillId="3" fontId="15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44" fillId="0" fontId="1" numFmtId="2" xfId="0" applyAlignment="1" applyBorder="1" applyFont="1" applyNumberFormat="1">
      <alignment horizontal="center" shrinkToFit="0" vertical="center" wrapText="1"/>
    </xf>
    <xf borderId="46" fillId="3" fontId="16" numFmtId="0" xfId="0" applyAlignment="1" applyBorder="1" applyFont="1">
      <alignment horizontal="center" shrinkToFit="0" vertical="center" wrapText="1"/>
    </xf>
    <xf borderId="47" fillId="3" fontId="17" numFmtId="0" xfId="0" applyAlignment="1" applyBorder="1" applyFont="1">
      <alignment horizontal="center" vertical="center"/>
    </xf>
    <xf borderId="48" fillId="6" fontId="17" numFmtId="0" xfId="0" applyAlignment="1" applyBorder="1" applyFont="1">
      <alignment horizontal="center" vertical="center"/>
    </xf>
    <xf borderId="27" fillId="6" fontId="18" numFmtId="1" xfId="0" applyAlignment="1" applyBorder="1" applyFont="1" applyNumberFormat="1">
      <alignment horizontal="center" vertical="center"/>
    </xf>
    <xf borderId="20" fillId="0" fontId="18" numFmtId="49" xfId="0" applyAlignment="1" applyBorder="1" applyFont="1" applyNumberFormat="1">
      <alignment horizontal="center" shrinkToFit="0" vertical="center" wrapText="1"/>
    </xf>
    <xf borderId="20" fillId="6" fontId="18" numFmtId="49" xfId="0" applyAlignment="1" applyBorder="1" applyFont="1" applyNumberFormat="1">
      <alignment horizontal="center" vertical="center"/>
    </xf>
    <xf borderId="20" fillId="6" fontId="18" numFmtId="2" xfId="0" applyAlignment="1" applyBorder="1" applyFont="1" applyNumberFormat="1">
      <alignment horizontal="center" vertical="center"/>
    </xf>
    <xf borderId="20" fillId="0" fontId="18" numFmtId="2" xfId="0" applyAlignment="1" applyBorder="1" applyFont="1" applyNumberFormat="1">
      <alignment horizontal="center" vertical="center"/>
    </xf>
    <xf borderId="23" fillId="6" fontId="6" numFmtId="164" xfId="0" applyAlignment="1" applyBorder="1" applyFont="1" applyNumberFormat="1">
      <alignment horizontal="center" vertical="center"/>
    </xf>
    <xf borderId="0" fillId="4" fontId="4" numFmtId="0" xfId="0" applyFont="1"/>
    <xf borderId="49" fillId="0" fontId="3" numFmtId="0" xfId="0" applyBorder="1" applyFont="1"/>
    <xf borderId="20" fillId="6" fontId="6" numFmtId="49" xfId="0" applyAlignment="1" applyBorder="1" applyFont="1" applyNumberFormat="1">
      <alignment horizontal="center" vertical="center"/>
    </xf>
    <xf borderId="20" fillId="6" fontId="6" numFmtId="2" xfId="0" applyAlignment="1" applyBorder="1" applyFont="1" applyNumberFormat="1">
      <alignment horizontal="center" vertical="center"/>
    </xf>
    <xf borderId="20" fillId="4" fontId="18" numFmtId="2" xfId="0" applyAlignment="1" applyBorder="1" applyFont="1" applyNumberFormat="1">
      <alignment horizontal="center" vertical="center"/>
    </xf>
    <xf borderId="48" fillId="7" fontId="19" numFmtId="0" xfId="0" applyAlignment="1" applyBorder="1" applyFill="1" applyFont="1">
      <alignment horizontal="center" vertical="center"/>
    </xf>
    <xf borderId="27" fillId="6" fontId="6" numFmtId="1" xfId="0" applyAlignment="1" applyBorder="1" applyFont="1" applyNumberFormat="1">
      <alignment horizontal="center" vertical="center"/>
    </xf>
    <xf borderId="20" fillId="4" fontId="6" numFmtId="49" xfId="0" applyAlignment="1" applyBorder="1" applyFont="1" applyNumberFormat="1">
      <alignment horizontal="center" shrinkToFit="0" vertical="center" wrapText="1"/>
    </xf>
    <xf borderId="0" fillId="4" fontId="19" numFmtId="0" xfId="0" applyAlignment="1" applyFont="1">
      <alignment horizontal="center" vertical="center"/>
    </xf>
    <xf borderId="0" fillId="4" fontId="19" numFmtId="0" xfId="0" applyFont="1"/>
    <xf borderId="48" fillId="8" fontId="19" numFmtId="0" xfId="0" applyAlignment="1" applyBorder="1" applyFill="1" applyFont="1">
      <alignment horizontal="center" vertical="center"/>
    </xf>
    <xf borderId="50" fillId="0" fontId="3" numFmtId="0" xfId="0" applyBorder="1" applyFont="1"/>
    <xf borderId="26" fillId="0" fontId="6" numFmtId="0" xfId="0" applyAlignment="1" applyBorder="1" applyFont="1">
      <alignment vertical="center"/>
    </xf>
    <xf borderId="48" fillId="9" fontId="19" numFmtId="0" xfId="0" applyAlignment="1" applyBorder="1" applyFill="1" applyFont="1">
      <alignment horizontal="center" vertical="center"/>
    </xf>
    <xf borderId="51" fillId="6" fontId="6" numFmtId="0" xfId="0" applyAlignment="1" applyBorder="1" applyFont="1">
      <alignment horizontal="center" vertical="center"/>
    </xf>
    <xf borderId="52" fillId="0" fontId="1" numFmtId="2" xfId="0" applyAlignment="1" applyBorder="1" applyFont="1" applyNumberFormat="1">
      <alignment horizontal="center" shrinkToFit="0" vertical="center" wrapText="1"/>
    </xf>
    <xf borderId="48" fillId="10" fontId="19" numFmtId="0" xfId="0" applyAlignment="1" applyBorder="1" applyFill="1" applyFont="1">
      <alignment horizontal="center" vertical="center"/>
    </xf>
    <xf borderId="48" fillId="11" fontId="19" numFmtId="0" xfId="0" applyAlignment="1" applyBorder="1" applyFill="1" applyFont="1">
      <alignment horizontal="center" vertical="center"/>
    </xf>
    <xf borderId="48" fillId="12" fontId="19" numFmtId="0" xfId="0" applyAlignment="1" applyBorder="1" applyFill="1" applyFont="1">
      <alignment horizontal="center" vertical="center"/>
    </xf>
    <xf borderId="48" fillId="13" fontId="17" numFmtId="0" xfId="0" applyAlignment="1" applyBorder="1" applyFill="1" applyFont="1">
      <alignment horizontal="center" vertical="center"/>
    </xf>
    <xf borderId="48" fillId="4" fontId="17" numFmtId="0" xfId="0" applyAlignment="1" applyBorder="1" applyFont="1">
      <alignment horizontal="center" vertical="center"/>
    </xf>
    <xf borderId="48" fillId="11" fontId="17" numFmtId="0" xfId="0" applyAlignment="1" applyBorder="1" applyFont="1">
      <alignment horizontal="center" vertical="center"/>
    </xf>
    <xf borderId="48" fillId="14" fontId="17" numFmtId="0" xfId="0" applyAlignment="1" applyBorder="1" applyFill="1" applyFont="1">
      <alignment horizontal="center" vertical="center"/>
    </xf>
    <xf borderId="48" fillId="15" fontId="17" numFmtId="0" xfId="0" applyAlignment="1" applyBorder="1" applyFill="1" applyFont="1">
      <alignment horizontal="center" vertical="center"/>
    </xf>
    <xf borderId="48" fillId="16" fontId="17" numFmtId="0" xfId="0" applyAlignment="1" applyBorder="1" applyFill="1" applyFont="1">
      <alignment horizontal="center" vertical="center"/>
    </xf>
    <xf borderId="48" fillId="17" fontId="17" numFmtId="0" xfId="0" applyAlignment="1" applyBorder="1" applyFill="1" applyFont="1">
      <alignment horizontal="center" vertical="center"/>
    </xf>
    <xf borderId="48" fillId="18" fontId="17" numFmtId="0" xfId="0" applyAlignment="1" applyBorder="1" applyFill="1" applyFont="1">
      <alignment horizontal="center" vertical="center"/>
    </xf>
    <xf borderId="20" fillId="19" fontId="18" numFmtId="0" xfId="0" applyAlignment="1" applyBorder="1" applyFill="1" applyFont="1">
      <alignment horizontal="center" shrinkToFit="0" vertical="center" wrapText="1"/>
    </xf>
    <xf borderId="20" fillId="6" fontId="18" numFmtId="0" xfId="0" applyAlignment="1" applyBorder="1" applyFont="1">
      <alignment horizontal="center" vertical="center"/>
    </xf>
    <xf borderId="20" fillId="3" fontId="4" numFmtId="0" xfId="0" applyAlignment="1" applyBorder="1" applyFont="1">
      <alignment vertical="center"/>
    </xf>
    <xf borderId="23" fillId="3" fontId="20" numFmtId="0" xfId="0" applyAlignment="1" applyBorder="1" applyFont="1">
      <alignment horizontal="center" shrinkToFit="0" vertical="center" wrapText="1"/>
    </xf>
    <xf borderId="23" fillId="0" fontId="5" numFmtId="164" xfId="0" applyAlignment="1" applyBorder="1" applyFont="1" applyNumberFormat="1">
      <alignment horizontal="center" vertical="center"/>
    </xf>
    <xf borderId="53" fillId="0" fontId="3" numFmtId="0" xfId="0" applyBorder="1" applyFont="1"/>
    <xf borderId="54" fillId="6" fontId="17" numFmtId="0" xfId="0" applyAlignment="1" applyBorder="1" applyFont="1">
      <alignment horizontal="center" vertical="center"/>
    </xf>
    <xf borderId="37" fillId="6" fontId="18" numFmtId="1" xfId="0" applyAlignment="1" applyBorder="1" applyFont="1" applyNumberFormat="1">
      <alignment horizontal="center" vertical="center"/>
    </xf>
    <xf borderId="39" fillId="3" fontId="18" numFmtId="0" xfId="0" applyAlignment="1" applyBorder="1" applyFont="1">
      <alignment shrinkToFit="0" vertical="center" wrapText="1"/>
    </xf>
    <xf borderId="39" fillId="0" fontId="4" numFmtId="0" xfId="0" applyAlignment="1" applyBorder="1" applyFont="1">
      <alignment horizontal="center" vertical="center"/>
    </xf>
    <xf borderId="55" fillId="3" fontId="20" numFmtId="0" xfId="0" applyAlignment="1" applyBorder="1" applyFont="1">
      <alignment horizontal="center" shrinkToFit="0" vertical="center" wrapText="1"/>
    </xf>
    <xf borderId="56" fillId="0" fontId="3" numFmtId="0" xfId="0" applyBorder="1" applyFont="1"/>
    <xf borderId="55" fillId="0" fontId="5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57" fillId="5" fontId="21" numFmtId="0" xfId="0" applyAlignment="1" applyBorder="1" applyFont="1">
      <alignment shrinkToFit="0" vertical="center" wrapText="1"/>
    </xf>
    <xf borderId="57" fillId="5" fontId="1" numFmtId="0" xfId="0" applyAlignment="1" applyBorder="1" applyFont="1">
      <alignment shrinkToFit="0" vertical="center" wrapText="1"/>
    </xf>
    <xf borderId="57" fillId="0" fontId="5" numFmtId="164" xfId="0" applyAlignment="1" applyBorder="1" applyFont="1" applyNumberFormat="1">
      <alignment vertical="center"/>
    </xf>
    <xf borderId="57" fillId="5" fontId="6" numFmtId="0" xfId="0" applyAlignment="1" applyBorder="1" applyFont="1">
      <alignment horizontal="center" vertical="center"/>
    </xf>
    <xf borderId="57" fillId="0" fontId="6" numFmtId="2" xfId="0" applyAlignment="1" applyBorder="1" applyFont="1" applyNumberFormat="1">
      <alignment horizontal="center" vertical="center"/>
    </xf>
    <xf borderId="20" fillId="5" fontId="4" numFmtId="0" xfId="0" applyAlignment="1" applyBorder="1" applyFont="1">
      <alignment horizontal="left" vertical="center"/>
    </xf>
    <xf borderId="0" fillId="0" fontId="4" numFmtId="164" xfId="0" applyFont="1" applyNumberFormat="1"/>
    <xf borderId="0" fillId="0" fontId="22" numFmtId="0" xfId="0" applyFont="1"/>
    <xf borderId="0" fillId="4" fontId="23" numFmtId="0" xfId="0" applyFont="1"/>
  </cellXfs>
  <cellStyles count="1">
    <cellStyle xfId="0" name="Normal" builtinId="0"/>
  </cellStyles>
  <dxfs count="1"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hidden="1" min="2" max="2" width="11.43"/>
    <col customWidth="1" min="3" max="3" width="10.0"/>
    <col customWidth="1" min="4" max="4" width="66.71"/>
    <col customWidth="1" min="5" max="8" width="14.29"/>
    <col customWidth="1" min="9" max="9" width="59.57"/>
    <col customWidth="1" min="10" max="10" width="9.14"/>
    <col customWidth="1" hidden="1" min="11" max="11" width="57.86"/>
    <col customWidth="1" min="12" max="26" width="9.14"/>
  </cols>
  <sheetData>
    <row r="1" ht="26.25" customHeight="1">
      <c r="A1" s="6" t="s">
        <v>2</v>
      </c>
      <c r="B1" s="12"/>
      <c r="C1" s="12"/>
      <c r="D1" s="12"/>
      <c r="E1" s="12"/>
      <c r="F1" s="12"/>
      <c r="G1" s="12"/>
      <c r="H1" s="14"/>
      <c r="I1" s="17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6.25" customHeight="1">
      <c r="A2" s="23" t="s">
        <v>4</v>
      </c>
      <c r="B2" s="25"/>
      <c r="C2" s="10" t="s">
        <v>7</v>
      </c>
      <c r="D2" s="11"/>
      <c r="E2" s="13" t="s">
        <v>9</v>
      </c>
      <c r="F2" s="32" t="s">
        <v>10</v>
      </c>
      <c r="G2" s="33"/>
      <c r="H2" s="37"/>
      <c r="I2" s="17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6.25" customHeight="1">
      <c r="A3" s="44" t="s">
        <v>12</v>
      </c>
      <c r="B3" s="48"/>
      <c r="C3" s="52"/>
      <c r="D3" s="55"/>
      <c r="E3" s="29" t="s">
        <v>16</v>
      </c>
      <c r="F3" s="34" t="s">
        <v>23</v>
      </c>
      <c r="G3" s="56"/>
      <c r="H3" s="38"/>
      <c r="I3" s="17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6.25" customHeight="1">
      <c r="A4" s="60" t="s">
        <v>19</v>
      </c>
      <c r="B4" s="62"/>
      <c r="C4" s="46" t="s">
        <v>29</v>
      </c>
      <c r="D4" s="49"/>
      <c r="E4" s="49"/>
      <c r="F4" s="49"/>
      <c r="G4" s="49"/>
      <c r="H4" s="51"/>
      <c r="I4" s="1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6.25" customHeight="1">
      <c r="A5" s="64"/>
      <c r="B5" s="66" t="s">
        <v>0</v>
      </c>
      <c r="C5" s="68" t="s">
        <v>3</v>
      </c>
      <c r="D5" s="70" t="s">
        <v>34</v>
      </c>
      <c r="E5" s="70" t="s">
        <v>6</v>
      </c>
      <c r="F5" s="70" t="s">
        <v>36</v>
      </c>
      <c r="G5" s="70" t="s">
        <v>11</v>
      </c>
      <c r="H5" s="73" t="s">
        <v>13</v>
      </c>
      <c r="I5" s="17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0" customHeight="1">
      <c r="A6" s="74"/>
      <c r="B6" s="75">
        <v>5.0040843E7</v>
      </c>
      <c r="C6" s="76" t="s">
        <v>49</v>
      </c>
      <c r="D6" s="77" t="s">
        <v>50</v>
      </c>
      <c r="E6" s="78" t="s">
        <v>17</v>
      </c>
      <c r="F6" s="79">
        <v>80.0</v>
      </c>
      <c r="G6" s="80">
        <v>1.0</v>
      </c>
      <c r="H6" s="81">
        <f t="shared" ref="H6:H96" si="1">F6*G6</f>
        <v>80</v>
      </c>
      <c r="I6" s="17"/>
      <c r="J6" s="19"/>
      <c r="K6" s="82" t="s">
        <v>57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5.5" customHeight="1">
      <c r="A7" s="83"/>
      <c r="B7" s="75">
        <v>5.0040844E7</v>
      </c>
      <c r="C7" s="76" t="s">
        <v>62</v>
      </c>
      <c r="D7" s="77" t="s">
        <v>63</v>
      </c>
      <c r="E7" s="84" t="s">
        <v>17</v>
      </c>
      <c r="F7" s="85">
        <v>50.0</v>
      </c>
      <c r="G7" s="86"/>
      <c r="H7" s="81">
        <f t="shared" si="1"/>
        <v>0</v>
      </c>
      <c r="I7" s="17"/>
      <c r="J7" s="19"/>
      <c r="K7" s="82" t="s">
        <v>68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0" customHeight="1">
      <c r="A8" s="83"/>
      <c r="B8" s="75">
        <v>5.0024274E7</v>
      </c>
      <c r="C8" s="76" t="s">
        <v>71</v>
      </c>
      <c r="D8" s="77" t="s">
        <v>72</v>
      </c>
      <c r="E8" s="84" t="s">
        <v>17</v>
      </c>
      <c r="F8" s="85">
        <v>150.0</v>
      </c>
      <c r="G8" s="86"/>
      <c r="H8" s="81">
        <f t="shared" si="1"/>
        <v>0</v>
      </c>
      <c r="I8" s="17"/>
      <c r="J8" s="19"/>
      <c r="K8" s="82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0" customHeight="1">
      <c r="A9" s="83"/>
      <c r="B9" s="75">
        <v>5.0024275E7</v>
      </c>
      <c r="C9" s="76" t="s">
        <v>82</v>
      </c>
      <c r="D9" s="77" t="s">
        <v>84</v>
      </c>
      <c r="E9" s="84" t="s">
        <v>17</v>
      </c>
      <c r="F9" s="85">
        <v>250.0</v>
      </c>
      <c r="G9" s="86"/>
      <c r="H9" s="81">
        <f t="shared" si="1"/>
        <v>0</v>
      </c>
      <c r="I9" s="17"/>
      <c r="J9" s="19"/>
      <c r="K9" s="82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0" customHeight="1">
      <c r="A10" s="83"/>
      <c r="B10" s="75">
        <v>5.0040888E7</v>
      </c>
      <c r="C10" s="76" t="s">
        <v>91</v>
      </c>
      <c r="D10" s="77" t="s">
        <v>93</v>
      </c>
      <c r="E10" s="84" t="s">
        <v>17</v>
      </c>
      <c r="F10" s="85">
        <v>150.0</v>
      </c>
      <c r="G10" s="86"/>
      <c r="H10" s="81">
        <f t="shared" si="1"/>
        <v>0</v>
      </c>
      <c r="I10" s="17"/>
      <c r="J10" s="19"/>
      <c r="K10" s="82" t="s">
        <v>98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83"/>
      <c r="B11" s="75">
        <v>5.0040889E7</v>
      </c>
      <c r="C11" s="76" t="s">
        <v>104</v>
      </c>
      <c r="D11" s="77" t="s">
        <v>105</v>
      </c>
      <c r="E11" s="84" t="s">
        <v>17</v>
      </c>
      <c r="F11" s="85">
        <v>250.0</v>
      </c>
      <c r="G11" s="86"/>
      <c r="H11" s="81">
        <f t="shared" si="1"/>
        <v>0</v>
      </c>
      <c r="I11" s="17"/>
      <c r="J11" s="19"/>
      <c r="K11" s="82" t="s">
        <v>110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0" customHeight="1">
      <c r="A12" s="83"/>
      <c r="B12" s="75">
        <v>5.004089E7</v>
      </c>
      <c r="C12" s="76" t="s">
        <v>116</v>
      </c>
      <c r="D12" s="77" t="s">
        <v>118</v>
      </c>
      <c r="E12" s="84" t="s">
        <v>17</v>
      </c>
      <c r="F12" s="85">
        <v>350.0</v>
      </c>
      <c r="G12" s="86"/>
      <c r="H12" s="81">
        <f t="shared" si="1"/>
        <v>0</v>
      </c>
      <c r="I12" s="17"/>
      <c r="J12" s="19"/>
      <c r="K12" s="82" t="s">
        <v>123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0" customHeight="1">
      <c r="A13" s="83"/>
      <c r="B13" s="75">
        <v>5.0040891E7</v>
      </c>
      <c r="C13" s="76" t="s">
        <v>128</v>
      </c>
      <c r="D13" s="77" t="s">
        <v>129</v>
      </c>
      <c r="E13" s="84" t="s">
        <v>17</v>
      </c>
      <c r="F13" s="85">
        <v>450.0</v>
      </c>
      <c r="G13" s="86"/>
      <c r="H13" s="81">
        <f t="shared" si="1"/>
        <v>0</v>
      </c>
      <c r="I13" s="17"/>
      <c r="J13" s="19"/>
      <c r="K13" s="82" t="s">
        <v>133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0" customHeight="1">
      <c r="A14" s="83"/>
      <c r="B14" s="87">
        <v>5.0040892E7</v>
      </c>
      <c r="C14" s="88" t="s">
        <v>140</v>
      </c>
      <c r="D14" s="89" t="s">
        <v>142</v>
      </c>
      <c r="E14" s="84" t="s">
        <v>17</v>
      </c>
      <c r="F14" s="85">
        <v>160.0</v>
      </c>
      <c r="G14" s="86"/>
      <c r="H14" s="81">
        <f t="shared" si="1"/>
        <v>0</v>
      </c>
      <c r="I14" s="17"/>
      <c r="J14" s="90"/>
      <c r="K14" s="91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5.0" customHeight="1">
      <c r="A15" s="83"/>
      <c r="B15" s="87">
        <v>5.0040893E7</v>
      </c>
      <c r="C15" s="88" t="s">
        <v>152</v>
      </c>
      <c r="D15" s="89" t="s">
        <v>154</v>
      </c>
      <c r="E15" s="84" t="s">
        <v>17</v>
      </c>
      <c r="F15" s="85">
        <v>270.0</v>
      </c>
      <c r="G15" s="86"/>
      <c r="H15" s="81">
        <f t="shared" si="1"/>
        <v>0</v>
      </c>
      <c r="I15" s="17"/>
      <c r="J15" s="90"/>
      <c r="K15" s="91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5.0" customHeight="1">
      <c r="A16" s="83"/>
      <c r="B16" s="87">
        <v>5.0040894E7</v>
      </c>
      <c r="C16" s="88" t="s">
        <v>162</v>
      </c>
      <c r="D16" s="89" t="s">
        <v>163</v>
      </c>
      <c r="E16" s="84" t="s">
        <v>17</v>
      </c>
      <c r="F16" s="85">
        <v>379.99999999999994</v>
      </c>
      <c r="G16" s="86"/>
      <c r="H16" s="81">
        <f t="shared" si="1"/>
        <v>0</v>
      </c>
      <c r="I16" s="17"/>
      <c r="J16" s="90"/>
      <c r="K16" s="91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5.0" customHeight="1">
      <c r="A17" s="83"/>
      <c r="B17" s="87">
        <v>5.0040895E7</v>
      </c>
      <c r="C17" s="88" t="s">
        <v>170</v>
      </c>
      <c r="D17" s="89" t="s">
        <v>172</v>
      </c>
      <c r="E17" s="84" t="s">
        <v>17</v>
      </c>
      <c r="F17" s="85">
        <v>489.99999999999994</v>
      </c>
      <c r="G17" s="86">
        <v>1.0</v>
      </c>
      <c r="H17" s="81">
        <f t="shared" si="1"/>
        <v>490</v>
      </c>
      <c r="I17" s="17"/>
      <c r="J17" s="90"/>
      <c r="K17" s="91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15.0" customHeight="1">
      <c r="A18" s="83"/>
      <c r="B18" s="92">
        <v>5.0040879E7</v>
      </c>
      <c r="C18" s="88" t="s">
        <v>179</v>
      </c>
      <c r="D18" s="89" t="s">
        <v>181</v>
      </c>
      <c r="E18" s="84" t="s">
        <v>17</v>
      </c>
      <c r="F18" s="85">
        <v>50.0</v>
      </c>
      <c r="G18" s="86">
        <v>1.0</v>
      </c>
      <c r="H18" s="81">
        <f t="shared" si="1"/>
        <v>50</v>
      </c>
      <c r="I18" s="17"/>
      <c r="J18" s="90"/>
      <c r="K18" s="91" t="s">
        <v>184</v>
      </c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0" customHeight="1">
      <c r="A19" s="83"/>
      <c r="B19" s="75">
        <v>5.004088E7</v>
      </c>
      <c r="C19" s="88" t="s">
        <v>188</v>
      </c>
      <c r="D19" s="89" t="s">
        <v>189</v>
      </c>
      <c r="E19" s="84" t="s">
        <v>17</v>
      </c>
      <c r="F19" s="85">
        <v>100.0</v>
      </c>
      <c r="G19" s="86"/>
      <c r="H19" s="81">
        <f t="shared" si="1"/>
        <v>0</v>
      </c>
      <c r="I19" s="17"/>
      <c r="J19" s="19"/>
      <c r="K19" s="82" t="s">
        <v>192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6.5" customHeight="1">
      <c r="A20" s="83"/>
      <c r="B20" s="75">
        <v>5.0040881E7</v>
      </c>
      <c r="C20" s="88" t="s">
        <v>196</v>
      </c>
      <c r="D20" s="89" t="s">
        <v>198</v>
      </c>
      <c r="E20" s="84" t="s">
        <v>17</v>
      </c>
      <c r="F20" s="85">
        <v>175.0</v>
      </c>
      <c r="G20" s="86"/>
      <c r="H20" s="81">
        <f t="shared" si="1"/>
        <v>0</v>
      </c>
      <c r="I20" s="17"/>
      <c r="J20" s="19"/>
      <c r="K20" s="82" t="s">
        <v>200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0" customHeight="1">
      <c r="A21" s="83"/>
      <c r="B21" s="95">
        <v>5.0040882E7</v>
      </c>
      <c r="C21" s="88" t="s">
        <v>203</v>
      </c>
      <c r="D21" s="89" t="s">
        <v>204</v>
      </c>
      <c r="E21" s="84" t="s">
        <v>17</v>
      </c>
      <c r="F21" s="85">
        <v>30.0</v>
      </c>
      <c r="G21" s="86"/>
      <c r="H21" s="81">
        <f t="shared" si="1"/>
        <v>0</v>
      </c>
      <c r="I21" s="17"/>
      <c r="J21" s="90"/>
      <c r="K21" s="91" t="s">
        <v>205</v>
      </c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0" customHeight="1">
      <c r="A22" s="83"/>
      <c r="B22" s="95">
        <v>5.0040883E7</v>
      </c>
      <c r="C22" s="88" t="s">
        <v>208</v>
      </c>
      <c r="D22" s="89" t="s">
        <v>209</v>
      </c>
      <c r="E22" s="84" t="s">
        <v>17</v>
      </c>
      <c r="F22" s="85">
        <v>50.0</v>
      </c>
      <c r="G22" s="86">
        <v>1.0</v>
      </c>
      <c r="H22" s="81">
        <f t="shared" si="1"/>
        <v>50</v>
      </c>
      <c r="I22" s="17"/>
      <c r="J22" s="90"/>
      <c r="K22" s="91" t="s">
        <v>210</v>
      </c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0" customHeight="1">
      <c r="A23" s="83"/>
      <c r="B23" s="75">
        <v>5.0024283E7</v>
      </c>
      <c r="C23" s="88" t="s">
        <v>213</v>
      </c>
      <c r="D23" s="89" t="s">
        <v>214</v>
      </c>
      <c r="E23" s="84" t="s">
        <v>215</v>
      </c>
      <c r="F23" s="85">
        <v>45.0</v>
      </c>
      <c r="G23" s="86"/>
      <c r="H23" s="81">
        <f t="shared" si="1"/>
        <v>0</v>
      </c>
      <c r="I23" s="17"/>
      <c r="J23" s="19"/>
      <c r="K23" s="82" t="s">
        <v>216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0" customHeight="1">
      <c r="A24" s="83"/>
      <c r="B24" s="75">
        <v>5.0024284E7</v>
      </c>
      <c r="C24" s="88" t="s">
        <v>218</v>
      </c>
      <c r="D24" s="89" t="s">
        <v>220</v>
      </c>
      <c r="E24" s="84" t="s">
        <v>215</v>
      </c>
      <c r="F24" s="85">
        <v>65.0</v>
      </c>
      <c r="G24" s="86"/>
      <c r="H24" s="81">
        <f t="shared" si="1"/>
        <v>0</v>
      </c>
      <c r="I24" s="17"/>
      <c r="J24" s="19"/>
      <c r="K24" s="82" t="s">
        <v>221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0" customHeight="1">
      <c r="A25" s="83"/>
      <c r="B25" s="75">
        <v>5.0024285E7</v>
      </c>
      <c r="C25" s="88" t="s">
        <v>224</v>
      </c>
      <c r="D25" s="89" t="s">
        <v>225</v>
      </c>
      <c r="E25" s="84" t="s">
        <v>215</v>
      </c>
      <c r="F25" s="85">
        <v>190.0</v>
      </c>
      <c r="G25" s="86"/>
      <c r="H25" s="81">
        <f t="shared" si="1"/>
        <v>0</v>
      </c>
      <c r="I25" s="17"/>
      <c r="J25" s="19"/>
      <c r="K25" s="82" t="s">
        <v>226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0" customHeight="1">
      <c r="A26" s="83"/>
      <c r="B26" s="75">
        <v>5.0024286E7</v>
      </c>
      <c r="C26" s="88" t="s">
        <v>229</v>
      </c>
      <c r="D26" s="89" t="s">
        <v>230</v>
      </c>
      <c r="E26" s="84" t="s">
        <v>215</v>
      </c>
      <c r="F26" s="85">
        <v>280.0</v>
      </c>
      <c r="G26" s="86"/>
      <c r="H26" s="81">
        <f t="shared" si="1"/>
        <v>0</v>
      </c>
      <c r="I26" s="17"/>
      <c r="J26" s="19"/>
      <c r="K26" s="82" t="s">
        <v>233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0" customHeight="1">
      <c r="A27" s="83"/>
      <c r="B27" s="75">
        <v>5.0024287E7</v>
      </c>
      <c r="C27" s="88" t="s">
        <v>234</v>
      </c>
      <c r="D27" s="89" t="s">
        <v>236</v>
      </c>
      <c r="E27" s="84" t="s">
        <v>215</v>
      </c>
      <c r="F27" s="85">
        <v>380.0</v>
      </c>
      <c r="G27" s="86"/>
      <c r="H27" s="81">
        <f t="shared" si="1"/>
        <v>0</v>
      </c>
      <c r="I27" s="17"/>
      <c r="J27" s="19"/>
      <c r="K27" s="82" t="s">
        <v>238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0" customHeight="1">
      <c r="A28" s="83"/>
      <c r="B28" s="75">
        <v>5.0024288E7</v>
      </c>
      <c r="C28" s="88" t="s">
        <v>241</v>
      </c>
      <c r="D28" s="89" t="s">
        <v>242</v>
      </c>
      <c r="E28" s="84" t="s">
        <v>215</v>
      </c>
      <c r="F28" s="85">
        <v>20.0</v>
      </c>
      <c r="G28" s="86"/>
      <c r="H28" s="81">
        <f t="shared" si="1"/>
        <v>0</v>
      </c>
      <c r="I28" s="17"/>
      <c r="J28" s="19"/>
      <c r="K28" s="82" t="s">
        <v>243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0" customHeight="1">
      <c r="A29" s="83"/>
      <c r="B29" s="75">
        <v>5.0024289E7</v>
      </c>
      <c r="C29" s="88" t="s">
        <v>246</v>
      </c>
      <c r="D29" s="89" t="s">
        <v>247</v>
      </c>
      <c r="E29" s="84" t="s">
        <v>215</v>
      </c>
      <c r="F29" s="85">
        <v>10.0</v>
      </c>
      <c r="G29" s="86"/>
      <c r="H29" s="81">
        <f t="shared" si="1"/>
        <v>0</v>
      </c>
      <c r="I29" s="17"/>
      <c r="J29" s="19"/>
      <c r="K29" s="82" t="s">
        <v>248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0" customHeight="1">
      <c r="A30" s="83"/>
      <c r="B30" s="75">
        <v>5.003938E7</v>
      </c>
      <c r="C30" s="88" t="s">
        <v>251</v>
      </c>
      <c r="D30" s="89" t="s">
        <v>252</v>
      </c>
      <c r="E30" s="84" t="s">
        <v>215</v>
      </c>
      <c r="F30" s="85">
        <v>40.0</v>
      </c>
      <c r="G30" s="86"/>
      <c r="H30" s="81">
        <f t="shared" si="1"/>
        <v>0</v>
      </c>
      <c r="I30" s="17"/>
      <c r="J30" s="19"/>
      <c r="K30" s="82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0" customHeight="1">
      <c r="A31" s="83"/>
      <c r="B31" s="75">
        <v>5.003939E7</v>
      </c>
      <c r="C31" s="88" t="s">
        <v>255</v>
      </c>
      <c r="D31" s="89" t="s">
        <v>256</v>
      </c>
      <c r="E31" s="84" t="s">
        <v>215</v>
      </c>
      <c r="F31" s="85">
        <v>30.0</v>
      </c>
      <c r="G31" s="86"/>
      <c r="H31" s="81">
        <f t="shared" si="1"/>
        <v>0</v>
      </c>
      <c r="I31" s="17"/>
      <c r="J31" s="19"/>
      <c r="K31" s="82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0" customHeight="1">
      <c r="A32" s="83"/>
      <c r="B32" s="98">
        <v>5.002429E7</v>
      </c>
      <c r="C32" s="88" t="s">
        <v>261</v>
      </c>
      <c r="D32" s="89" t="s">
        <v>262</v>
      </c>
      <c r="E32" s="84" t="s">
        <v>17</v>
      </c>
      <c r="F32" s="85">
        <v>180.0</v>
      </c>
      <c r="G32" s="86">
        <v>1.0</v>
      </c>
      <c r="H32" s="81">
        <f t="shared" si="1"/>
        <v>180</v>
      </c>
      <c r="I32" s="17"/>
      <c r="J32" s="90"/>
      <c r="K32" s="91" t="s">
        <v>265</v>
      </c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0" customHeight="1">
      <c r="A33" s="83"/>
      <c r="B33" s="75">
        <v>5.0024291E7</v>
      </c>
      <c r="C33" s="88" t="s">
        <v>267</v>
      </c>
      <c r="D33" s="89" t="s">
        <v>269</v>
      </c>
      <c r="E33" s="84" t="s">
        <v>17</v>
      </c>
      <c r="F33" s="85">
        <v>200.0</v>
      </c>
      <c r="G33" s="86"/>
      <c r="H33" s="81">
        <f t="shared" si="1"/>
        <v>0</v>
      </c>
      <c r="I33" s="17"/>
      <c r="J33" s="19"/>
      <c r="K33" s="82" t="s">
        <v>270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0" customHeight="1">
      <c r="A34" s="83"/>
      <c r="B34" s="75">
        <v>5.0024292E7</v>
      </c>
      <c r="C34" s="88" t="s">
        <v>273</v>
      </c>
      <c r="D34" s="89" t="s">
        <v>274</v>
      </c>
      <c r="E34" s="84" t="s">
        <v>215</v>
      </c>
      <c r="F34" s="85">
        <v>55.0</v>
      </c>
      <c r="G34" s="86"/>
      <c r="H34" s="81">
        <f t="shared" si="1"/>
        <v>0</v>
      </c>
      <c r="I34" s="17"/>
      <c r="J34" s="19"/>
      <c r="K34" s="82" t="s">
        <v>275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>
      <c r="A35" s="83"/>
      <c r="B35" s="99">
        <v>5.0024293E7</v>
      </c>
      <c r="C35" s="88" t="s">
        <v>278</v>
      </c>
      <c r="D35" s="89" t="s">
        <v>279</v>
      </c>
      <c r="E35" s="84" t="s">
        <v>215</v>
      </c>
      <c r="F35" s="85">
        <v>65.0</v>
      </c>
      <c r="G35" s="86">
        <v>4.0</v>
      </c>
      <c r="H35" s="81">
        <f t="shared" si="1"/>
        <v>260</v>
      </c>
      <c r="I35" s="17"/>
      <c r="J35" s="90"/>
      <c r="K35" s="91" t="s">
        <v>282</v>
      </c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0" customHeight="1">
      <c r="A36" s="83"/>
      <c r="B36" s="75">
        <v>5.0024294E7</v>
      </c>
      <c r="C36" s="88" t="s">
        <v>284</v>
      </c>
      <c r="D36" s="89" t="s">
        <v>286</v>
      </c>
      <c r="E36" s="84" t="s">
        <v>215</v>
      </c>
      <c r="F36" s="85">
        <v>230.0</v>
      </c>
      <c r="G36" s="86"/>
      <c r="H36" s="81">
        <f t="shared" si="1"/>
        <v>0</v>
      </c>
      <c r="I36" s="17"/>
      <c r="J36" s="19"/>
      <c r="K36" s="82" t="s">
        <v>287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0" customHeight="1">
      <c r="A37" s="83"/>
      <c r="B37" s="75">
        <v>5.0024295E7</v>
      </c>
      <c r="C37" s="88" t="s">
        <v>290</v>
      </c>
      <c r="D37" s="89" t="s">
        <v>291</v>
      </c>
      <c r="E37" s="84" t="s">
        <v>215</v>
      </c>
      <c r="F37" s="85">
        <v>40.0</v>
      </c>
      <c r="G37" s="86"/>
      <c r="H37" s="81">
        <f t="shared" si="1"/>
        <v>0</v>
      </c>
      <c r="I37" s="17"/>
      <c r="J37" s="19"/>
      <c r="K37" s="82" t="s">
        <v>292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0" customHeight="1">
      <c r="A38" s="83"/>
      <c r="B38" s="75">
        <v>5.0040884E7</v>
      </c>
      <c r="C38" s="88" t="s">
        <v>295</v>
      </c>
      <c r="D38" s="89" t="s">
        <v>296</v>
      </c>
      <c r="E38" s="84" t="s">
        <v>17</v>
      </c>
      <c r="F38" s="85">
        <v>65.0</v>
      </c>
      <c r="G38" s="86"/>
      <c r="H38" s="81">
        <f t="shared" si="1"/>
        <v>0</v>
      </c>
      <c r="I38" s="17"/>
      <c r="J38" s="19"/>
      <c r="K38" s="82" t="s">
        <v>299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0" customHeight="1">
      <c r="A39" s="83"/>
      <c r="B39" s="75">
        <v>5.0040885E7</v>
      </c>
      <c r="C39" s="88" t="s">
        <v>302</v>
      </c>
      <c r="D39" s="89" t="s">
        <v>303</v>
      </c>
      <c r="E39" s="84" t="s">
        <v>17</v>
      </c>
      <c r="F39" s="85">
        <v>35.0</v>
      </c>
      <c r="G39" s="86"/>
      <c r="H39" s="81">
        <f t="shared" si="1"/>
        <v>0</v>
      </c>
      <c r="I39" s="17"/>
      <c r="J39" s="19"/>
      <c r="K39" s="82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0" customHeight="1">
      <c r="A40" s="83"/>
      <c r="B40" s="99">
        <v>5.0040886E7</v>
      </c>
      <c r="C40" s="88" t="s">
        <v>239</v>
      </c>
      <c r="D40" s="89" t="s">
        <v>240</v>
      </c>
      <c r="E40" s="84" t="s">
        <v>17</v>
      </c>
      <c r="F40" s="85">
        <v>82.0</v>
      </c>
      <c r="G40" s="86">
        <v>3.0</v>
      </c>
      <c r="H40" s="81">
        <f t="shared" si="1"/>
        <v>246</v>
      </c>
      <c r="I40" s="17"/>
      <c r="J40" s="90"/>
      <c r="K40" s="91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0" customHeight="1">
      <c r="A41" s="83"/>
      <c r="B41" s="99">
        <v>5.0040887E7</v>
      </c>
      <c r="C41" s="88" t="s">
        <v>244</v>
      </c>
      <c r="D41" s="89" t="s">
        <v>245</v>
      </c>
      <c r="E41" s="84" t="s">
        <v>17</v>
      </c>
      <c r="F41" s="85">
        <v>52.0</v>
      </c>
      <c r="G41" s="86">
        <v>1.0</v>
      </c>
      <c r="H41" s="81">
        <f t="shared" si="1"/>
        <v>52</v>
      </c>
      <c r="I41" s="17"/>
      <c r="J41" s="90"/>
      <c r="K41" s="91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0" customHeight="1">
      <c r="A42" s="83"/>
      <c r="B42" s="75">
        <v>5.0040873E7</v>
      </c>
      <c r="C42" s="88" t="s">
        <v>312</v>
      </c>
      <c r="D42" s="89" t="s">
        <v>314</v>
      </c>
      <c r="E42" s="84" t="s">
        <v>17</v>
      </c>
      <c r="F42" s="85">
        <v>35.0</v>
      </c>
      <c r="G42" s="86"/>
      <c r="H42" s="81">
        <f t="shared" si="1"/>
        <v>0</v>
      </c>
      <c r="I42" s="17"/>
      <c r="J42" s="19"/>
      <c r="K42" s="82" t="s">
        <v>315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0" customHeight="1">
      <c r="A43" s="83"/>
      <c r="B43" s="100">
        <v>5.0040874E7</v>
      </c>
      <c r="C43" s="88" t="s">
        <v>318</v>
      </c>
      <c r="D43" s="89" t="s">
        <v>319</v>
      </c>
      <c r="E43" s="84" t="s">
        <v>17</v>
      </c>
      <c r="F43" s="85">
        <v>65.0</v>
      </c>
      <c r="G43" s="86"/>
      <c r="H43" s="81">
        <f t="shared" si="1"/>
        <v>0</v>
      </c>
      <c r="I43" s="17"/>
      <c r="J43" s="90"/>
      <c r="K43" s="91" t="s">
        <v>322</v>
      </c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0" customHeight="1">
      <c r="A44" s="83"/>
      <c r="B44" s="101">
        <v>5.0040875E7</v>
      </c>
      <c r="C44" s="88" t="s">
        <v>325</v>
      </c>
      <c r="D44" s="89" t="s">
        <v>326</v>
      </c>
      <c r="E44" s="84" t="s">
        <v>17</v>
      </c>
      <c r="F44" s="85">
        <v>75.0</v>
      </c>
      <c r="G44" s="86"/>
      <c r="H44" s="81">
        <f t="shared" si="1"/>
        <v>0</v>
      </c>
      <c r="I44" s="17"/>
      <c r="J44" s="19"/>
      <c r="K44" s="82" t="s">
        <v>327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0" customHeight="1">
      <c r="A45" s="83"/>
      <c r="B45" s="101">
        <v>5.0040876E7</v>
      </c>
      <c r="C45" s="88" t="s">
        <v>331</v>
      </c>
      <c r="D45" s="89" t="s">
        <v>332</v>
      </c>
      <c r="E45" s="84" t="s">
        <v>17</v>
      </c>
      <c r="F45" s="85">
        <v>105.0</v>
      </c>
      <c r="G45" s="86"/>
      <c r="H45" s="81">
        <f t="shared" si="1"/>
        <v>0</v>
      </c>
      <c r="I45" s="17"/>
      <c r="J45" s="19"/>
      <c r="K45" s="82" t="s">
        <v>335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0" customHeight="1">
      <c r="A46" s="83"/>
      <c r="B46" s="102">
        <v>5.0040877E7</v>
      </c>
      <c r="C46" s="88" t="s">
        <v>336</v>
      </c>
      <c r="D46" s="89" t="s">
        <v>338</v>
      </c>
      <c r="E46" s="84" t="s">
        <v>17</v>
      </c>
      <c r="F46" s="85">
        <v>50.0</v>
      </c>
      <c r="G46" s="86"/>
      <c r="H46" s="81">
        <f t="shared" si="1"/>
        <v>0</v>
      </c>
      <c r="I46" s="17"/>
      <c r="J46" s="19"/>
      <c r="K46" s="82" t="s">
        <v>340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0" customHeight="1">
      <c r="A47" s="83"/>
      <c r="B47" s="75">
        <v>5.0040878E7</v>
      </c>
      <c r="C47" s="88" t="s">
        <v>343</v>
      </c>
      <c r="D47" s="89" t="s">
        <v>345</v>
      </c>
      <c r="E47" s="84" t="s">
        <v>17</v>
      </c>
      <c r="F47" s="85">
        <v>45.0</v>
      </c>
      <c r="G47" s="86"/>
      <c r="H47" s="81">
        <f t="shared" si="1"/>
        <v>0</v>
      </c>
      <c r="I47" s="17"/>
      <c r="J47" s="19"/>
      <c r="K47" s="82" t="s">
        <v>347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>
      <c r="A48" s="83"/>
      <c r="B48" s="103">
        <v>5.0024303E7</v>
      </c>
      <c r="C48" s="88" t="s">
        <v>350</v>
      </c>
      <c r="D48" s="89" t="s">
        <v>351</v>
      </c>
      <c r="E48" s="84" t="s">
        <v>17</v>
      </c>
      <c r="F48" s="85">
        <v>180.0</v>
      </c>
      <c r="G48" s="86"/>
      <c r="H48" s="81">
        <f t="shared" si="1"/>
        <v>0</v>
      </c>
      <c r="I48" s="17"/>
      <c r="J48" s="19"/>
      <c r="K48" s="82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>
      <c r="A49" s="83"/>
      <c r="B49" s="103">
        <v>5.0024304E7</v>
      </c>
      <c r="C49" s="88" t="s">
        <v>355</v>
      </c>
      <c r="D49" s="89" t="s">
        <v>357</v>
      </c>
      <c r="E49" s="84" t="s">
        <v>17</v>
      </c>
      <c r="F49" s="85">
        <v>110.0</v>
      </c>
      <c r="G49" s="86"/>
      <c r="H49" s="81">
        <f t="shared" si="1"/>
        <v>0</v>
      </c>
      <c r="I49" s="17"/>
      <c r="J49" s="19"/>
      <c r="K49" s="82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4.25" customHeight="1">
      <c r="A50" s="83"/>
      <c r="B50" s="103">
        <v>5.0024305E7</v>
      </c>
      <c r="C50" s="88">
        <v>1989.0</v>
      </c>
      <c r="D50" s="89" t="s">
        <v>360</v>
      </c>
      <c r="E50" s="84" t="s">
        <v>17</v>
      </c>
      <c r="F50" s="85">
        <v>30.0</v>
      </c>
      <c r="G50" s="86"/>
      <c r="H50" s="81">
        <f t="shared" si="1"/>
        <v>0</v>
      </c>
      <c r="I50" s="17"/>
      <c r="J50" s="19"/>
      <c r="K50" s="82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0" customHeight="1">
      <c r="A51" s="83"/>
      <c r="B51" s="75">
        <v>5.0039587E7</v>
      </c>
      <c r="C51" s="88" t="s">
        <v>363</v>
      </c>
      <c r="D51" s="89" t="s">
        <v>364</v>
      </c>
      <c r="E51" s="84" t="s">
        <v>17</v>
      </c>
      <c r="F51" s="85">
        <v>50.0</v>
      </c>
      <c r="G51" s="86"/>
      <c r="H51" s="81">
        <f t="shared" si="1"/>
        <v>0</v>
      </c>
      <c r="I51" s="17"/>
      <c r="J51" s="19"/>
      <c r="K51" s="82" t="s">
        <v>367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0" customHeight="1">
      <c r="A52" s="83"/>
      <c r="B52" s="75">
        <v>5.0039588E7</v>
      </c>
      <c r="C52" s="88" t="s">
        <v>369</v>
      </c>
      <c r="D52" s="89" t="s">
        <v>371</v>
      </c>
      <c r="E52" s="84" t="s">
        <v>17</v>
      </c>
      <c r="F52" s="85">
        <v>50.0</v>
      </c>
      <c r="G52" s="86"/>
      <c r="H52" s="81">
        <f t="shared" si="1"/>
        <v>0</v>
      </c>
      <c r="I52" s="17"/>
      <c r="J52" s="19"/>
      <c r="K52" s="82" t="s">
        <v>372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0" customHeight="1">
      <c r="A53" s="83"/>
      <c r="B53" s="75">
        <v>5.0039589E7</v>
      </c>
      <c r="C53" s="88" t="s">
        <v>375</v>
      </c>
      <c r="D53" s="89" t="s">
        <v>376</v>
      </c>
      <c r="E53" s="84" t="s">
        <v>17</v>
      </c>
      <c r="F53" s="85">
        <v>18.0</v>
      </c>
      <c r="G53" s="86"/>
      <c r="H53" s="81">
        <f t="shared" si="1"/>
        <v>0</v>
      </c>
      <c r="I53" s="17"/>
      <c r="J53" s="19"/>
      <c r="K53" s="82" t="s">
        <v>377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0" customHeight="1">
      <c r="A54" s="83"/>
      <c r="B54" s="104">
        <v>5.0024306E7</v>
      </c>
      <c r="C54" s="88" t="s">
        <v>380</v>
      </c>
      <c r="D54" s="89" t="s">
        <v>381</v>
      </c>
      <c r="E54" s="84" t="s">
        <v>17</v>
      </c>
      <c r="F54" s="85">
        <v>120.0</v>
      </c>
      <c r="G54" s="86"/>
      <c r="H54" s="81">
        <f t="shared" si="1"/>
        <v>0</v>
      </c>
      <c r="I54" s="17"/>
      <c r="J54" s="19"/>
      <c r="K54" s="82" t="s">
        <v>384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0" customHeight="1">
      <c r="A55" s="83"/>
      <c r="B55" s="104">
        <v>5.0024307E7</v>
      </c>
      <c r="C55" s="88" t="s">
        <v>385</v>
      </c>
      <c r="D55" s="89" t="s">
        <v>386</v>
      </c>
      <c r="E55" s="84" t="s">
        <v>17</v>
      </c>
      <c r="F55" s="85">
        <v>200.0</v>
      </c>
      <c r="G55" s="86"/>
      <c r="H55" s="81">
        <f t="shared" si="1"/>
        <v>0</v>
      </c>
      <c r="I55" s="17"/>
      <c r="J55" s="19"/>
      <c r="K55" s="82" t="s">
        <v>389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0" customHeight="1">
      <c r="A56" s="83"/>
      <c r="B56" s="104">
        <v>5.0024308E7</v>
      </c>
      <c r="C56" s="88" t="s">
        <v>392</v>
      </c>
      <c r="D56" s="89" t="s">
        <v>393</v>
      </c>
      <c r="E56" s="84" t="s">
        <v>17</v>
      </c>
      <c r="F56" s="85">
        <v>260.0</v>
      </c>
      <c r="G56" s="86"/>
      <c r="H56" s="81">
        <f t="shared" si="1"/>
        <v>0</v>
      </c>
      <c r="I56" s="17"/>
      <c r="J56" s="19"/>
      <c r="K56" s="82" t="s">
        <v>394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0" customHeight="1">
      <c r="A57" s="83"/>
      <c r="B57" s="105">
        <v>5.0024309E7</v>
      </c>
      <c r="C57" s="88" t="s">
        <v>397</v>
      </c>
      <c r="D57" s="89" t="s">
        <v>399</v>
      </c>
      <c r="E57" s="84" t="s">
        <v>17</v>
      </c>
      <c r="F57" s="85">
        <v>150.0</v>
      </c>
      <c r="G57" s="86"/>
      <c r="H57" s="81">
        <f t="shared" si="1"/>
        <v>0</v>
      </c>
      <c r="I57" s="17"/>
      <c r="J57" s="19"/>
      <c r="K57" s="82" t="s">
        <v>401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0" customHeight="1">
      <c r="A58" s="83"/>
      <c r="B58" s="105">
        <v>5.002431E7</v>
      </c>
      <c r="C58" s="88" t="s">
        <v>404</v>
      </c>
      <c r="D58" s="89" t="s">
        <v>405</v>
      </c>
      <c r="E58" s="84" t="s">
        <v>17</v>
      </c>
      <c r="F58" s="85">
        <v>250.0</v>
      </c>
      <c r="G58" s="86"/>
      <c r="H58" s="81">
        <f t="shared" si="1"/>
        <v>0</v>
      </c>
      <c r="I58" s="17"/>
      <c r="J58" s="19"/>
      <c r="K58" s="82" t="s">
        <v>406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0" customHeight="1">
      <c r="A59" s="83"/>
      <c r="B59" s="105">
        <v>5.0024311E7</v>
      </c>
      <c r="C59" s="88" t="s">
        <v>409</v>
      </c>
      <c r="D59" s="89" t="s">
        <v>410</v>
      </c>
      <c r="E59" s="84" t="s">
        <v>17</v>
      </c>
      <c r="F59" s="85">
        <v>350.0</v>
      </c>
      <c r="G59" s="86"/>
      <c r="H59" s="81">
        <f t="shared" si="1"/>
        <v>0</v>
      </c>
      <c r="I59" s="17"/>
      <c r="J59" s="19"/>
      <c r="K59" s="82" t="s">
        <v>412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0" customHeight="1">
      <c r="A60" s="83"/>
      <c r="B60" s="75">
        <v>5.0040861E7</v>
      </c>
      <c r="C60" s="76" t="s">
        <v>414</v>
      </c>
      <c r="D60" s="89" t="s">
        <v>415</v>
      </c>
      <c r="E60" s="84" t="s">
        <v>17</v>
      </c>
      <c r="F60" s="85">
        <v>120.0</v>
      </c>
      <c r="G60" s="86"/>
      <c r="H60" s="81">
        <f t="shared" si="1"/>
        <v>0</v>
      </c>
      <c r="I60" s="17"/>
      <c r="J60" s="19"/>
      <c r="K60" s="82" t="s">
        <v>418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0" customHeight="1">
      <c r="A61" s="83"/>
      <c r="B61" s="75">
        <v>5.0040862E7</v>
      </c>
      <c r="C61" s="76" t="s">
        <v>419</v>
      </c>
      <c r="D61" s="89" t="s">
        <v>415</v>
      </c>
      <c r="E61" s="84" t="s">
        <v>17</v>
      </c>
      <c r="F61" s="85">
        <v>200.0</v>
      </c>
      <c r="G61" s="86"/>
      <c r="H61" s="81">
        <f t="shared" si="1"/>
        <v>0</v>
      </c>
      <c r="I61" s="17"/>
      <c r="J61" s="19"/>
      <c r="K61" s="82" t="s">
        <v>422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0" customHeight="1">
      <c r="A62" s="83"/>
      <c r="B62" s="75">
        <v>5.0040863E7</v>
      </c>
      <c r="C62" s="76" t="s">
        <v>423</v>
      </c>
      <c r="D62" s="89" t="s">
        <v>415</v>
      </c>
      <c r="E62" s="84" t="s">
        <v>17</v>
      </c>
      <c r="F62" s="85">
        <v>270.0</v>
      </c>
      <c r="G62" s="86"/>
      <c r="H62" s="81">
        <f t="shared" si="1"/>
        <v>0</v>
      </c>
      <c r="I62" s="17"/>
      <c r="J62" s="19"/>
      <c r="K62" s="82" t="s">
        <v>426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0" customHeight="1">
      <c r="A63" s="83"/>
      <c r="B63" s="75">
        <v>5.0040864E7</v>
      </c>
      <c r="C63" s="76" t="s">
        <v>427</v>
      </c>
      <c r="D63" s="89" t="s">
        <v>415</v>
      </c>
      <c r="E63" s="84" t="s">
        <v>17</v>
      </c>
      <c r="F63" s="85">
        <v>340.0</v>
      </c>
      <c r="G63" s="86"/>
      <c r="H63" s="81">
        <f t="shared" si="1"/>
        <v>0</v>
      </c>
      <c r="I63" s="17"/>
      <c r="J63" s="19"/>
      <c r="K63" s="82" t="s">
        <v>430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0" customHeight="1">
      <c r="A64" s="83"/>
      <c r="B64" s="101">
        <v>5.0040865E7</v>
      </c>
      <c r="C64" s="76" t="s">
        <v>263</v>
      </c>
      <c r="D64" s="89" t="s">
        <v>264</v>
      </c>
      <c r="E64" s="84" t="s">
        <v>202</v>
      </c>
      <c r="F64" s="85">
        <v>130.0</v>
      </c>
      <c r="G64" s="86"/>
      <c r="H64" s="81">
        <f t="shared" si="1"/>
        <v>0</v>
      </c>
      <c r="I64" s="17"/>
      <c r="J64" s="19"/>
      <c r="K64" s="82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0" customHeight="1">
      <c r="A65" s="83"/>
      <c r="B65" s="101">
        <v>5.0040866E7</v>
      </c>
      <c r="C65" s="76" t="s">
        <v>266</v>
      </c>
      <c r="D65" s="89" t="s">
        <v>268</v>
      </c>
      <c r="E65" s="84" t="s">
        <v>202</v>
      </c>
      <c r="F65" s="85">
        <v>219.99999999999997</v>
      </c>
      <c r="G65" s="86"/>
      <c r="H65" s="81">
        <f t="shared" si="1"/>
        <v>0</v>
      </c>
      <c r="I65" s="17"/>
      <c r="J65" s="19"/>
      <c r="K65" s="82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0" customHeight="1">
      <c r="A66" s="83"/>
      <c r="B66" s="101">
        <v>5.0040867E7</v>
      </c>
      <c r="C66" s="76" t="s">
        <v>271</v>
      </c>
      <c r="D66" s="89" t="s">
        <v>272</v>
      </c>
      <c r="E66" s="84" t="s">
        <v>202</v>
      </c>
      <c r="F66" s="85">
        <v>300.0</v>
      </c>
      <c r="G66" s="86"/>
      <c r="H66" s="81">
        <f t="shared" si="1"/>
        <v>0</v>
      </c>
      <c r="I66" s="17"/>
      <c r="J66" s="19"/>
      <c r="K66" s="82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0" customHeight="1">
      <c r="A67" s="83"/>
      <c r="B67" s="101">
        <v>5.0040868E7</v>
      </c>
      <c r="C67" s="76" t="s">
        <v>276</v>
      </c>
      <c r="D67" s="89" t="s">
        <v>277</v>
      </c>
      <c r="E67" s="84" t="s">
        <v>202</v>
      </c>
      <c r="F67" s="85">
        <v>379.99999999999994</v>
      </c>
      <c r="G67" s="86"/>
      <c r="H67" s="81">
        <f t="shared" si="1"/>
        <v>0</v>
      </c>
      <c r="I67" s="17"/>
      <c r="J67" s="19"/>
      <c r="K67" s="82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0" customHeight="1">
      <c r="A68" s="83"/>
      <c r="B68" s="106">
        <v>5.0040869E7</v>
      </c>
      <c r="C68" s="76" t="s">
        <v>443</v>
      </c>
      <c r="D68" s="89" t="s">
        <v>444</v>
      </c>
      <c r="E68" s="84" t="s">
        <v>17</v>
      </c>
      <c r="F68" s="85">
        <v>150.0</v>
      </c>
      <c r="G68" s="86"/>
      <c r="H68" s="81">
        <f t="shared" si="1"/>
        <v>0</v>
      </c>
      <c r="I68" s="17"/>
      <c r="J68" s="19"/>
      <c r="K68" s="82" t="s">
        <v>447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0" customHeight="1">
      <c r="A69" s="83"/>
      <c r="B69" s="106">
        <v>5.004087E7</v>
      </c>
      <c r="C69" s="76" t="s">
        <v>450</v>
      </c>
      <c r="D69" s="89" t="s">
        <v>451</v>
      </c>
      <c r="E69" s="84" t="s">
        <v>17</v>
      </c>
      <c r="F69" s="85">
        <v>100.0</v>
      </c>
      <c r="G69" s="86"/>
      <c r="H69" s="81">
        <f t="shared" si="1"/>
        <v>0</v>
      </c>
      <c r="I69" s="17"/>
      <c r="J69" s="19"/>
      <c r="K69" s="82" t="s">
        <v>452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83"/>
      <c r="B70" s="107">
        <v>5.0024317E7</v>
      </c>
      <c r="C70" s="76" t="s">
        <v>457</v>
      </c>
      <c r="D70" s="89" t="s">
        <v>458</v>
      </c>
      <c r="E70" s="84" t="s">
        <v>17</v>
      </c>
      <c r="F70" s="85">
        <v>80.0</v>
      </c>
      <c r="G70" s="86"/>
      <c r="H70" s="81">
        <f t="shared" si="1"/>
        <v>0</v>
      </c>
      <c r="I70" s="17"/>
      <c r="J70" s="19"/>
      <c r="K70" s="82" t="s">
        <v>459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0" customHeight="1">
      <c r="A71" s="83"/>
      <c r="B71" s="107">
        <v>5.0024318E7</v>
      </c>
      <c r="C71" s="76" t="s">
        <v>462</v>
      </c>
      <c r="D71" s="89" t="s">
        <v>463</v>
      </c>
      <c r="E71" s="84" t="s">
        <v>17</v>
      </c>
      <c r="F71" s="85">
        <v>110.0</v>
      </c>
      <c r="G71" s="86"/>
      <c r="H71" s="81">
        <f t="shared" si="1"/>
        <v>0</v>
      </c>
      <c r="I71" s="17"/>
      <c r="J71" s="19"/>
      <c r="K71" s="82" t="s">
        <v>466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0" customHeight="1">
      <c r="A72" s="83"/>
      <c r="B72" s="75">
        <v>5.0024319E7</v>
      </c>
      <c r="C72" s="76">
        <v>1996.0</v>
      </c>
      <c r="D72" s="89" t="s">
        <v>467</v>
      </c>
      <c r="E72" s="84" t="s">
        <v>17</v>
      </c>
      <c r="F72" s="85">
        <v>40.0</v>
      </c>
      <c r="G72" s="86"/>
      <c r="H72" s="81">
        <f t="shared" si="1"/>
        <v>0</v>
      </c>
      <c r="I72" s="17"/>
      <c r="J72" s="19"/>
      <c r="K72" s="82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0" customHeight="1">
      <c r="A73" s="83"/>
      <c r="B73" s="75">
        <v>5.002432E7</v>
      </c>
      <c r="C73" s="76">
        <v>1997.0</v>
      </c>
      <c r="D73" s="89" t="s">
        <v>472</v>
      </c>
      <c r="E73" s="84" t="s">
        <v>17</v>
      </c>
      <c r="F73" s="85">
        <v>20.0</v>
      </c>
      <c r="G73" s="86"/>
      <c r="H73" s="81">
        <f t="shared" si="1"/>
        <v>0</v>
      </c>
      <c r="I73" s="17"/>
      <c r="J73" s="19"/>
      <c r="K73" s="82" t="s">
        <v>473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0" customHeight="1">
      <c r="A74" s="83"/>
      <c r="B74" s="75">
        <v>5.0024321E7</v>
      </c>
      <c r="C74" s="76" t="s">
        <v>476</v>
      </c>
      <c r="D74" s="89" t="s">
        <v>477</v>
      </c>
      <c r="E74" s="84" t="s">
        <v>17</v>
      </c>
      <c r="F74" s="85">
        <v>400.0</v>
      </c>
      <c r="G74" s="86"/>
      <c r="H74" s="81">
        <f t="shared" si="1"/>
        <v>0</v>
      </c>
      <c r="I74" s="17"/>
      <c r="J74" s="19"/>
      <c r="K74" s="82" t="s">
        <v>478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0" customHeight="1">
      <c r="A75" s="83"/>
      <c r="B75" s="75">
        <v>5.0024322E7</v>
      </c>
      <c r="C75" s="76" t="s">
        <v>481</v>
      </c>
      <c r="D75" s="89" t="s">
        <v>477</v>
      </c>
      <c r="E75" s="84" t="s">
        <v>17</v>
      </c>
      <c r="F75" s="85">
        <v>320.0</v>
      </c>
      <c r="G75" s="86"/>
      <c r="H75" s="81">
        <f t="shared" si="1"/>
        <v>0</v>
      </c>
      <c r="I75" s="17"/>
      <c r="J75" s="19"/>
      <c r="K75" s="82" t="s">
        <v>484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0" customHeight="1">
      <c r="A76" s="83"/>
      <c r="B76" s="75">
        <v>5.0024323E7</v>
      </c>
      <c r="C76" s="76" t="s">
        <v>485</v>
      </c>
      <c r="D76" s="89" t="s">
        <v>477</v>
      </c>
      <c r="E76" s="84" t="s">
        <v>17</v>
      </c>
      <c r="F76" s="85">
        <v>240.0</v>
      </c>
      <c r="G76" s="86"/>
      <c r="H76" s="81">
        <f t="shared" si="1"/>
        <v>0</v>
      </c>
      <c r="I76" s="17"/>
      <c r="J76" s="19"/>
      <c r="K76" s="82" t="s">
        <v>488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0" customHeight="1">
      <c r="A77" s="83"/>
      <c r="B77" s="75">
        <v>5.0024324E7</v>
      </c>
      <c r="C77" s="76" t="s">
        <v>490</v>
      </c>
      <c r="D77" s="89" t="s">
        <v>477</v>
      </c>
      <c r="E77" s="84" t="s">
        <v>17</v>
      </c>
      <c r="F77" s="85">
        <v>160.0</v>
      </c>
      <c r="G77" s="86"/>
      <c r="H77" s="81">
        <f t="shared" si="1"/>
        <v>0</v>
      </c>
      <c r="I77" s="17"/>
      <c r="J77" s="19"/>
      <c r="K77" s="82" t="s">
        <v>492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0" customHeight="1">
      <c r="A78" s="83"/>
      <c r="B78" s="75">
        <v>5.0024325E7</v>
      </c>
      <c r="C78" s="76" t="s">
        <v>495</v>
      </c>
      <c r="D78" s="89" t="s">
        <v>477</v>
      </c>
      <c r="E78" s="84" t="s">
        <v>17</v>
      </c>
      <c r="F78" s="85">
        <v>90.0</v>
      </c>
      <c r="G78" s="86"/>
      <c r="H78" s="81">
        <f t="shared" si="1"/>
        <v>0</v>
      </c>
      <c r="I78" s="17"/>
      <c r="J78" s="19"/>
      <c r="K78" s="82" t="s">
        <v>497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0" customHeight="1">
      <c r="A79" s="83"/>
      <c r="B79" s="75">
        <v>5.0024326E7</v>
      </c>
      <c r="C79" s="76" t="s">
        <v>501</v>
      </c>
      <c r="D79" s="89" t="s">
        <v>477</v>
      </c>
      <c r="E79" s="84" t="s">
        <v>17</v>
      </c>
      <c r="F79" s="85">
        <v>60.0</v>
      </c>
      <c r="G79" s="86"/>
      <c r="H79" s="81">
        <f t="shared" si="1"/>
        <v>0</v>
      </c>
      <c r="I79" s="17"/>
      <c r="J79" s="19"/>
      <c r="K79" s="82" t="s">
        <v>502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0" customHeight="1">
      <c r="A80" s="83"/>
      <c r="B80" s="75">
        <v>5.0024327E7</v>
      </c>
      <c r="C80" s="76" t="s">
        <v>504</v>
      </c>
      <c r="D80" s="89" t="s">
        <v>506</v>
      </c>
      <c r="E80" s="84" t="s">
        <v>17</v>
      </c>
      <c r="F80" s="85">
        <v>5.0</v>
      </c>
      <c r="G80" s="86"/>
      <c r="H80" s="81">
        <f t="shared" si="1"/>
        <v>0</v>
      </c>
      <c r="I80" s="17"/>
      <c r="J80" s="19"/>
      <c r="K80" s="82" t="s">
        <v>507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0" customHeight="1">
      <c r="A81" s="83"/>
      <c r="B81" s="75">
        <v>5.0024328E7</v>
      </c>
      <c r="C81" s="76" t="s">
        <v>510</v>
      </c>
      <c r="D81" s="89" t="s">
        <v>506</v>
      </c>
      <c r="E81" s="84" t="s">
        <v>17</v>
      </c>
      <c r="F81" s="85">
        <v>10.0</v>
      </c>
      <c r="G81" s="86"/>
      <c r="H81" s="81">
        <f t="shared" si="1"/>
        <v>0</v>
      </c>
      <c r="I81" s="17"/>
      <c r="J81" s="19"/>
      <c r="K81" s="82" t="s">
        <v>511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0" customHeight="1">
      <c r="A82" s="83"/>
      <c r="B82" s="75">
        <v>5.0024329E7</v>
      </c>
      <c r="C82" s="76" t="s">
        <v>514</v>
      </c>
      <c r="D82" s="89" t="s">
        <v>506</v>
      </c>
      <c r="E82" s="84" t="s">
        <v>17</v>
      </c>
      <c r="F82" s="85">
        <v>10.0</v>
      </c>
      <c r="G82" s="86"/>
      <c r="H82" s="81">
        <f t="shared" si="1"/>
        <v>0</v>
      </c>
      <c r="I82" s="17"/>
      <c r="J82" s="19"/>
      <c r="K82" s="82" t="s">
        <v>517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0" customHeight="1">
      <c r="A83" s="83"/>
      <c r="B83" s="108">
        <v>5.003385E7</v>
      </c>
      <c r="C83" s="76" t="s">
        <v>520</v>
      </c>
      <c r="D83" s="89" t="s">
        <v>521</v>
      </c>
      <c r="E83" s="84" t="s">
        <v>215</v>
      </c>
      <c r="F83" s="85">
        <v>80.0</v>
      </c>
      <c r="G83" s="86">
        <v>1.0</v>
      </c>
      <c r="H83" s="81">
        <f t="shared" si="1"/>
        <v>80</v>
      </c>
      <c r="I83" s="17"/>
      <c r="J83" s="19"/>
      <c r="K83" s="82" t="s">
        <v>522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0" customHeight="1">
      <c r="A84" s="83"/>
      <c r="B84" s="108">
        <v>5.0033851E7</v>
      </c>
      <c r="C84" s="76" t="s">
        <v>525</v>
      </c>
      <c r="D84" s="89" t="s">
        <v>526</v>
      </c>
      <c r="E84" s="84" t="s">
        <v>215</v>
      </c>
      <c r="F84" s="85">
        <v>100.0</v>
      </c>
      <c r="G84" s="86"/>
      <c r="H84" s="81">
        <f t="shared" si="1"/>
        <v>0</v>
      </c>
      <c r="I84" s="17"/>
      <c r="J84" s="19"/>
      <c r="K84" s="82" t="s">
        <v>529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0" customHeight="1">
      <c r="A85" s="83"/>
      <c r="B85" s="75">
        <v>5.0024269E7</v>
      </c>
      <c r="C85" s="76" t="s">
        <v>530</v>
      </c>
      <c r="D85" s="109" t="s">
        <v>531</v>
      </c>
      <c r="E85" s="78" t="s">
        <v>17</v>
      </c>
      <c r="F85" s="79">
        <v>28.6</v>
      </c>
      <c r="G85" s="86"/>
      <c r="H85" s="81">
        <f t="shared" si="1"/>
        <v>0</v>
      </c>
      <c r="I85" s="17"/>
      <c r="J85" s="19"/>
      <c r="K85" s="82" t="s">
        <v>534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0" customHeight="1">
      <c r="A86" s="83"/>
      <c r="B86" s="75">
        <v>5.002427E7</v>
      </c>
      <c r="C86" s="76" t="s">
        <v>537</v>
      </c>
      <c r="D86" s="109" t="s">
        <v>538</v>
      </c>
      <c r="E86" s="78" t="s">
        <v>17</v>
      </c>
      <c r="F86" s="79">
        <v>19.3</v>
      </c>
      <c r="G86" s="86"/>
      <c r="H86" s="81">
        <f t="shared" si="1"/>
        <v>0</v>
      </c>
      <c r="I86" s="17"/>
      <c r="J86" s="19"/>
      <c r="K86" s="82" t="s">
        <v>540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0" customHeight="1">
      <c r="A87" s="83"/>
      <c r="B87" s="75">
        <v>5.0023578E7</v>
      </c>
      <c r="C87" s="76">
        <v>1001.0</v>
      </c>
      <c r="D87" s="109" t="s">
        <v>265</v>
      </c>
      <c r="E87" s="110" t="s">
        <v>306</v>
      </c>
      <c r="F87" s="79">
        <v>21.0</v>
      </c>
      <c r="G87" s="86"/>
      <c r="H87" s="81">
        <f t="shared" si="1"/>
        <v>0</v>
      </c>
      <c r="I87" s="17"/>
      <c r="J87" s="19"/>
      <c r="K87" s="82" t="s">
        <v>546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0" customHeight="1">
      <c r="A88" s="83"/>
      <c r="B88" s="75">
        <v>5.0023615E7</v>
      </c>
      <c r="C88" s="76" t="s">
        <v>548</v>
      </c>
      <c r="D88" s="109" t="s">
        <v>550</v>
      </c>
      <c r="E88" s="110" t="s">
        <v>202</v>
      </c>
      <c r="F88" s="79">
        <v>93.5</v>
      </c>
      <c r="G88" s="86"/>
      <c r="H88" s="81">
        <f t="shared" si="1"/>
        <v>0</v>
      </c>
      <c r="I88" s="17"/>
      <c r="J88" s="19"/>
      <c r="K88" s="82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0" customHeight="1">
      <c r="A89" s="83"/>
      <c r="B89" s="75">
        <v>5.0023616E7</v>
      </c>
      <c r="C89" s="76" t="s">
        <v>553</v>
      </c>
      <c r="D89" s="109" t="s">
        <v>554</v>
      </c>
      <c r="E89" s="110" t="s">
        <v>202</v>
      </c>
      <c r="F89" s="79">
        <v>68.3010752688172</v>
      </c>
      <c r="G89" s="86"/>
      <c r="H89" s="81">
        <f t="shared" si="1"/>
        <v>0</v>
      </c>
      <c r="I89" s="17"/>
      <c r="J89" s="19"/>
      <c r="K89" s="82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0" customHeight="1">
      <c r="A90" s="83"/>
      <c r="B90" s="75">
        <v>5.0023617E7</v>
      </c>
      <c r="C90" s="76" t="s">
        <v>557</v>
      </c>
      <c r="D90" s="109" t="s">
        <v>559</v>
      </c>
      <c r="E90" s="110" t="s">
        <v>202</v>
      </c>
      <c r="F90" s="79">
        <v>131.3010752688172</v>
      </c>
      <c r="G90" s="86"/>
      <c r="H90" s="81">
        <f t="shared" si="1"/>
        <v>0</v>
      </c>
      <c r="I90" s="17"/>
      <c r="J90" s="19"/>
      <c r="K90" s="82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0" customHeight="1">
      <c r="A91" s="83"/>
      <c r="B91" s="75">
        <v>5.0023618E7</v>
      </c>
      <c r="C91" s="76" t="s">
        <v>561</v>
      </c>
      <c r="D91" s="109" t="s">
        <v>563</v>
      </c>
      <c r="E91" s="110" t="s">
        <v>202</v>
      </c>
      <c r="F91" s="79">
        <v>94.5</v>
      </c>
      <c r="G91" s="86"/>
      <c r="H91" s="81">
        <f t="shared" si="1"/>
        <v>0</v>
      </c>
      <c r="I91" s="17"/>
      <c r="J91" s="19"/>
      <c r="K91" s="82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0" customHeight="1">
      <c r="A92" s="83"/>
      <c r="B92" s="75">
        <v>5.0023619E7</v>
      </c>
      <c r="C92" s="76" t="s">
        <v>567</v>
      </c>
      <c r="D92" s="109" t="s">
        <v>568</v>
      </c>
      <c r="E92" s="110" t="s">
        <v>202</v>
      </c>
      <c r="F92" s="79">
        <v>168.0</v>
      </c>
      <c r="G92" s="86"/>
      <c r="H92" s="81">
        <f t="shared" si="1"/>
        <v>0</v>
      </c>
      <c r="I92" s="17"/>
      <c r="J92" s="19"/>
      <c r="K92" s="82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0" customHeight="1">
      <c r="A93" s="83"/>
      <c r="B93" s="75">
        <v>5.002362E7</v>
      </c>
      <c r="C93" s="76" t="s">
        <v>571</v>
      </c>
      <c r="D93" s="109" t="s">
        <v>572</v>
      </c>
      <c r="E93" s="110" t="s">
        <v>202</v>
      </c>
      <c r="F93" s="79">
        <v>115.5</v>
      </c>
      <c r="G93" s="86"/>
      <c r="H93" s="81">
        <f t="shared" si="1"/>
        <v>0</v>
      </c>
      <c r="I93" s="17"/>
      <c r="J93" s="19"/>
      <c r="K93" s="82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0" customHeight="1">
      <c r="A94" s="83"/>
      <c r="B94" s="75">
        <v>5.0023721E7</v>
      </c>
      <c r="C94" s="76">
        <v>2601.0</v>
      </c>
      <c r="D94" s="109" t="s">
        <v>577</v>
      </c>
      <c r="E94" s="110" t="s">
        <v>17</v>
      </c>
      <c r="F94" s="79">
        <v>6.1</v>
      </c>
      <c r="G94" s="86"/>
      <c r="H94" s="81">
        <f t="shared" si="1"/>
        <v>0</v>
      </c>
      <c r="I94" s="17"/>
      <c r="J94" s="19"/>
      <c r="K94" s="82" t="s">
        <v>578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83"/>
      <c r="B95" s="75">
        <v>5.0023727E7</v>
      </c>
      <c r="C95" s="76">
        <v>2650.0</v>
      </c>
      <c r="D95" s="109" t="s">
        <v>581</v>
      </c>
      <c r="E95" s="110" t="s">
        <v>582</v>
      </c>
      <c r="F95" s="79">
        <v>7.4</v>
      </c>
      <c r="G95" s="86"/>
      <c r="H95" s="81">
        <f t="shared" si="1"/>
        <v>0</v>
      </c>
      <c r="I95" s="17"/>
      <c r="J95" s="19"/>
      <c r="K95" s="82" t="s">
        <v>583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83"/>
      <c r="B96" s="75">
        <v>5.0023737E7</v>
      </c>
      <c r="C96" s="76" t="s">
        <v>586</v>
      </c>
      <c r="D96" s="109" t="s">
        <v>587</v>
      </c>
      <c r="E96" s="110" t="s">
        <v>202</v>
      </c>
      <c r="F96" s="79">
        <v>0.95</v>
      </c>
      <c r="G96" s="80"/>
      <c r="H96" s="81">
        <f t="shared" si="1"/>
        <v>0</v>
      </c>
      <c r="I96" s="17"/>
      <c r="J96" s="19"/>
      <c r="K96" s="82" t="s">
        <v>590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24.0" customHeight="1">
      <c r="A97" s="83"/>
      <c r="B97" s="75"/>
      <c r="C97" s="76"/>
      <c r="D97" s="111"/>
      <c r="E97" s="111"/>
      <c r="F97" s="112" t="s">
        <v>593</v>
      </c>
      <c r="G97" s="55"/>
      <c r="H97" s="113">
        <f>SUM(H6:H96)</f>
        <v>1488</v>
      </c>
      <c r="I97" s="17"/>
      <c r="J97" s="19"/>
      <c r="K97" s="82" t="s">
        <v>598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25.5" customHeight="1">
      <c r="A98" s="114"/>
      <c r="B98" s="115"/>
      <c r="C98" s="116"/>
      <c r="D98" s="117" t="s">
        <v>605</v>
      </c>
      <c r="E98" s="118">
        <v>0.07</v>
      </c>
      <c r="F98" s="119" t="s">
        <v>606</v>
      </c>
      <c r="G98" s="120"/>
      <c r="H98" s="121">
        <f>H97*0.93</f>
        <v>1383.84</v>
      </c>
      <c r="I98" s="17"/>
      <c r="J98" s="19"/>
      <c r="K98" s="82" t="s">
        <v>611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22"/>
      <c r="B99" s="122"/>
      <c r="C99" s="122"/>
      <c r="D99" s="122"/>
      <c r="E99" s="122"/>
      <c r="F99" s="122"/>
      <c r="G99" s="123"/>
      <c r="H99" s="122"/>
      <c r="I99" s="17"/>
      <c r="J99" s="19"/>
      <c r="K99" s="82" t="s">
        <v>614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22"/>
      <c r="B100" s="122"/>
      <c r="C100" s="122"/>
      <c r="D100" s="122"/>
      <c r="E100" s="122"/>
      <c r="F100" s="122"/>
      <c r="G100" s="123"/>
      <c r="H100" s="122"/>
      <c r="I100" s="17"/>
      <c r="J100" s="19"/>
      <c r="K100" s="82" t="s">
        <v>617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22"/>
      <c r="B101" s="122"/>
      <c r="C101" s="122"/>
      <c r="D101" s="122"/>
      <c r="E101" s="122"/>
      <c r="F101" s="122"/>
      <c r="G101" s="123"/>
      <c r="H101" s="122"/>
      <c r="I101" s="17"/>
      <c r="J101" s="19"/>
      <c r="K101" s="82" t="s">
        <v>620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22"/>
      <c r="B102" s="122"/>
      <c r="C102" s="122"/>
      <c r="D102" s="122"/>
      <c r="E102" s="122"/>
      <c r="F102" s="122"/>
      <c r="G102" s="123"/>
      <c r="H102" s="122"/>
      <c r="I102" s="17"/>
      <c r="J102" s="19"/>
      <c r="K102" s="82" t="s">
        <v>623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22"/>
      <c r="B103" s="122"/>
      <c r="C103" s="122"/>
      <c r="D103" s="122"/>
      <c r="E103" s="122"/>
      <c r="F103" s="122"/>
      <c r="G103" s="123"/>
      <c r="H103" s="122"/>
      <c r="I103" s="17"/>
      <c r="J103" s="19"/>
      <c r="K103" s="82" t="s">
        <v>626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22"/>
      <c r="B104" s="122"/>
      <c r="C104" s="122"/>
      <c r="D104" s="122"/>
      <c r="E104" s="122"/>
      <c r="F104" s="122"/>
      <c r="G104" s="123"/>
      <c r="H104" s="122"/>
      <c r="I104" s="17"/>
      <c r="J104" s="19"/>
      <c r="K104" s="82" t="s">
        <v>629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22"/>
      <c r="B105" s="122"/>
      <c r="C105" s="122"/>
      <c r="D105" s="122"/>
      <c r="E105" s="122"/>
      <c r="F105" s="122"/>
      <c r="G105" s="123"/>
      <c r="H105" s="122"/>
      <c r="I105" s="17"/>
      <c r="J105" s="19"/>
      <c r="K105" s="82" t="s">
        <v>633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22"/>
      <c r="B106" s="122"/>
      <c r="C106" s="122"/>
      <c r="D106" s="122"/>
      <c r="E106" s="122"/>
      <c r="F106" s="122"/>
      <c r="G106" s="123"/>
      <c r="H106" s="122"/>
      <c r="I106" s="17"/>
      <c r="J106" s="19"/>
      <c r="K106" s="82" t="s">
        <v>635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22"/>
      <c r="B107" s="122"/>
      <c r="C107" s="122"/>
      <c r="D107" s="122"/>
      <c r="E107" s="122"/>
      <c r="F107" s="122"/>
      <c r="G107" s="123"/>
      <c r="H107" s="122"/>
      <c r="I107" s="17"/>
      <c r="J107" s="19"/>
      <c r="K107" s="82" t="s">
        <v>638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22"/>
      <c r="B108" s="122"/>
      <c r="C108" s="122"/>
      <c r="D108" s="122"/>
      <c r="E108" s="122"/>
      <c r="F108" s="122"/>
      <c r="G108" s="123"/>
      <c r="H108" s="122"/>
      <c r="I108" s="17"/>
      <c r="J108" s="19"/>
      <c r="K108" s="82" t="s">
        <v>641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22"/>
      <c r="B109" s="122"/>
      <c r="C109" s="122"/>
      <c r="D109" s="122"/>
      <c r="E109" s="122"/>
      <c r="F109" s="122"/>
      <c r="G109" s="123"/>
      <c r="H109" s="122"/>
      <c r="I109" s="17"/>
      <c r="J109" s="19"/>
      <c r="K109" s="82" t="s">
        <v>644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22"/>
      <c r="B110" s="122"/>
      <c r="C110" s="122"/>
      <c r="D110" s="122"/>
      <c r="E110" s="122"/>
      <c r="F110" s="122"/>
      <c r="G110" s="123"/>
      <c r="H110" s="122"/>
      <c r="I110" s="17"/>
      <c r="J110" s="19"/>
      <c r="K110" s="82" t="s">
        <v>647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22"/>
      <c r="B111" s="122"/>
      <c r="C111" s="122"/>
      <c r="D111" s="122"/>
      <c r="E111" s="122"/>
      <c r="F111" s="122"/>
      <c r="G111" s="123"/>
      <c r="H111" s="122"/>
      <c r="I111" s="17"/>
      <c r="J111" s="19"/>
      <c r="K111" s="82" t="s">
        <v>650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22"/>
      <c r="B112" s="122"/>
      <c r="C112" s="122"/>
      <c r="D112" s="122"/>
      <c r="E112" s="122"/>
      <c r="F112" s="122"/>
      <c r="G112" s="123"/>
      <c r="H112" s="122"/>
      <c r="I112" s="17"/>
      <c r="J112" s="19"/>
      <c r="K112" s="82" t="s">
        <v>653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22"/>
      <c r="B113" s="122"/>
      <c r="C113" s="122"/>
      <c r="D113" s="122"/>
      <c r="E113" s="122"/>
      <c r="F113" s="122"/>
      <c r="G113" s="123"/>
      <c r="H113" s="122"/>
      <c r="I113" s="17"/>
      <c r="J113" s="19"/>
      <c r="K113" s="82" t="s">
        <v>656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22"/>
      <c r="B114" s="122"/>
      <c r="C114" s="122"/>
      <c r="D114" s="122"/>
      <c r="E114" s="122"/>
      <c r="F114" s="122"/>
      <c r="G114" s="123"/>
      <c r="H114" s="122"/>
      <c r="I114" s="17"/>
      <c r="J114" s="19"/>
      <c r="K114" s="82" t="s">
        <v>659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22"/>
      <c r="B115" s="122"/>
      <c r="C115" s="122"/>
      <c r="D115" s="122"/>
      <c r="E115" s="122"/>
      <c r="F115" s="122"/>
      <c r="G115" s="123"/>
      <c r="H115" s="122"/>
      <c r="I115" s="17"/>
      <c r="J115" s="19"/>
      <c r="K115" s="82" t="s">
        <v>662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22"/>
      <c r="B116" s="122"/>
      <c r="C116" s="122"/>
      <c r="D116" s="122"/>
      <c r="E116" s="122"/>
      <c r="F116" s="122"/>
      <c r="G116" s="123"/>
      <c r="H116" s="122"/>
      <c r="I116" s="17"/>
      <c r="J116" s="19"/>
      <c r="K116" s="82" t="s">
        <v>665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22"/>
      <c r="B117" s="122"/>
      <c r="C117" s="122"/>
      <c r="D117" s="122"/>
      <c r="E117" s="122"/>
      <c r="F117" s="122"/>
      <c r="G117" s="123"/>
      <c r="H117" s="122"/>
      <c r="I117" s="17"/>
      <c r="J117" s="19"/>
      <c r="K117" s="82" t="s">
        <v>668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22"/>
      <c r="B118" s="122"/>
      <c r="C118" s="122"/>
      <c r="D118" s="122"/>
      <c r="E118" s="122"/>
      <c r="F118" s="122"/>
      <c r="G118" s="123"/>
      <c r="H118" s="122"/>
      <c r="I118" s="17"/>
      <c r="J118" s="19"/>
      <c r="K118" s="82" t="s">
        <v>670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22"/>
      <c r="B119" s="122"/>
      <c r="C119" s="122"/>
      <c r="D119" s="122"/>
      <c r="E119" s="122"/>
      <c r="F119" s="122"/>
      <c r="G119" s="123"/>
      <c r="H119" s="122"/>
      <c r="I119" s="17"/>
      <c r="J119" s="19"/>
      <c r="K119" s="82" t="s">
        <v>672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22"/>
      <c r="B120" s="122"/>
      <c r="C120" s="122"/>
      <c r="D120" s="122"/>
      <c r="E120" s="122"/>
      <c r="F120" s="122"/>
      <c r="G120" s="123"/>
      <c r="H120" s="122"/>
      <c r="I120" s="17"/>
      <c r="J120" s="19"/>
      <c r="K120" s="82" t="s">
        <v>675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22"/>
      <c r="B121" s="122"/>
      <c r="C121" s="122"/>
      <c r="D121" s="122"/>
      <c r="E121" s="122"/>
      <c r="F121" s="122"/>
      <c r="G121" s="123"/>
      <c r="H121" s="122"/>
      <c r="I121" s="17"/>
      <c r="J121" s="19"/>
      <c r="K121" s="82" t="s">
        <v>678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22"/>
      <c r="B122" s="122"/>
      <c r="C122" s="122"/>
      <c r="D122" s="122"/>
      <c r="E122" s="122"/>
      <c r="F122" s="122"/>
      <c r="G122" s="123"/>
      <c r="H122" s="122"/>
      <c r="I122" s="17"/>
      <c r="J122" s="19"/>
      <c r="K122" s="82" t="s">
        <v>681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22"/>
      <c r="B123" s="122"/>
      <c r="C123" s="122"/>
      <c r="D123" s="122"/>
      <c r="E123" s="122"/>
      <c r="F123" s="122"/>
      <c r="G123" s="123"/>
      <c r="H123" s="122"/>
      <c r="I123" s="17"/>
      <c r="J123" s="19"/>
      <c r="K123" s="82" t="s">
        <v>684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22"/>
      <c r="B124" s="122"/>
      <c r="C124" s="122"/>
      <c r="D124" s="122"/>
      <c r="E124" s="122"/>
      <c r="F124" s="122"/>
      <c r="G124" s="123"/>
      <c r="H124" s="122"/>
      <c r="I124" s="17"/>
      <c r="J124" s="19"/>
      <c r="K124" s="82" t="s">
        <v>687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22"/>
      <c r="B125" s="122"/>
      <c r="C125" s="122"/>
      <c r="D125" s="122"/>
      <c r="E125" s="122"/>
      <c r="F125" s="122"/>
      <c r="G125" s="123"/>
      <c r="H125" s="122"/>
      <c r="I125" s="17"/>
      <c r="J125" s="19"/>
      <c r="K125" s="82" t="s">
        <v>690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22"/>
      <c r="B126" s="122"/>
      <c r="C126" s="122"/>
      <c r="D126" s="122"/>
      <c r="E126" s="122"/>
      <c r="F126" s="122"/>
      <c r="G126" s="123"/>
      <c r="H126" s="122"/>
      <c r="I126" s="17"/>
      <c r="J126" s="19"/>
      <c r="K126" s="82" t="s">
        <v>692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22"/>
      <c r="B127" s="122"/>
      <c r="C127" s="122"/>
      <c r="D127" s="122"/>
      <c r="E127" s="122"/>
      <c r="F127" s="122"/>
      <c r="G127" s="123"/>
      <c r="H127" s="122"/>
      <c r="I127" s="17"/>
      <c r="J127" s="19"/>
      <c r="K127" s="82" t="s">
        <v>694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22"/>
      <c r="B128" s="122"/>
      <c r="C128" s="122"/>
      <c r="D128" s="122"/>
      <c r="E128" s="122"/>
      <c r="F128" s="122"/>
      <c r="G128" s="123"/>
      <c r="H128" s="122"/>
      <c r="I128" s="17"/>
      <c r="J128" s="19"/>
      <c r="K128" s="82" t="s">
        <v>697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22"/>
      <c r="B129" s="122"/>
      <c r="C129" s="122"/>
      <c r="D129" s="122"/>
      <c r="E129" s="122"/>
      <c r="F129" s="122"/>
      <c r="G129" s="123"/>
      <c r="H129" s="122"/>
      <c r="I129" s="17"/>
      <c r="J129" s="19"/>
      <c r="K129" s="82" t="s">
        <v>700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22"/>
      <c r="B130" s="122"/>
      <c r="C130" s="122"/>
      <c r="D130" s="122"/>
      <c r="E130" s="122"/>
      <c r="F130" s="122"/>
      <c r="G130" s="123"/>
      <c r="H130" s="122"/>
      <c r="I130" s="17"/>
      <c r="J130" s="19"/>
      <c r="K130" s="82" t="s">
        <v>703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22"/>
      <c r="B131" s="122"/>
      <c r="C131" s="122"/>
      <c r="D131" s="122"/>
      <c r="E131" s="122"/>
      <c r="F131" s="122"/>
      <c r="G131" s="123"/>
      <c r="H131" s="122"/>
      <c r="I131" s="17"/>
      <c r="J131" s="19"/>
      <c r="K131" s="82" t="s">
        <v>706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22"/>
      <c r="B132" s="122"/>
      <c r="C132" s="122"/>
      <c r="D132" s="122"/>
      <c r="E132" s="122"/>
      <c r="F132" s="122"/>
      <c r="G132" s="123"/>
      <c r="H132" s="122"/>
      <c r="I132" s="17"/>
      <c r="J132" s="19"/>
      <c r="K132" s="82" t="s">
        <v>709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22"/>
      <c r="B133" s="122"/>
      <c r="C133" s="122"/>
      <c r="D133" s="122"/>
      <c r="E133" s="122"/>
      <c r="F133" s="122"/>
      <c r="G133" s="123"/>
      <c r="H133" s="122"/>
      <c r="I133" s="17"/>
      <c r="J133" s="19"/>
      <c r="K133" s="82" t="s">
        <v>712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22"/>
      <c r="B134" s="122"/>
      <c r="C134" s="122"/>
      <c r="D134" s="122"/>
      <c r="E134" s="122"/>
      <c r="F134" s="122"/>
      <c r="G134" s="123"/>
      <c r="H134" s="122"/>
      <c r="I134" s="17"/>
      <c r="J134" s="19"/>
      <c r="K134" s="82" t="s">
        <v>715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22"/>
      <c r="B135" s="122"/>
      <c r="C135" s="122"/>
      <c r="D135" s="122"/>
      <c r="E135" s="122"/>
      <c r="F135" s="122"/>
      <c r="G135" s="123"/>
      <c r="H135" s="122"/>
      <c r="I135" s="17"/>
      <c r="J135" s="19"/>
      <c r="K135" s="82" t="s">
        <v>718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22"/>
      <c r="B136" s="122"/>
      <c r="C136" s="122"/>
      <c r="D136" s="122"/>
      <c r="E136" s="122"/>
      <c r="F136" s="122"/>
      <c r="G136" s="123"/>
      <c r="H136" s="122"/>
      <c r="I136" s="17"/>
      <c r="J136" s="19"/>
      <c r="K136" s="82" t="s">
        <v>721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22"/>
      <c r="B137" s="122"/>
      <c r="C137" s="122"/>
      <c r="D137" s="122"/>
      <c r="E137" s="122"/>
      <c r="F137" s="122"/>
      <c r="G137" s="123"/>
      <c r="H137" s="122"/>
      <c r="I137" s="17"/>
      <c r="J137" s="19"/>
      <c r="K137" s="82" t="s">
        <v>724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22"/>
      <c r="B138" s="122"/>
      <c r="C138" s="122"/>
      <c r="D138" s="122"/>
      <c r="E138" s="122"/>
      <c r="F138" s="122"/>
      <c r="G138" s="123"/>
      <c r="H138" s="122"/>
      <c r="I138" s="17"/>
      <c r="J138" s="19"/>
      <c r="K138" s="82" t="s">
        <v>729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22"/>
      <c r="B139" s="122"/>
      <c r="C139" s="122"/>
      <c r="D139" s="122"/>
      <c r="E139" s="122"/>
      <c r="F139" s="122"/>
      <c r="G139" s="123"/>
      <c r="H139" s="122"/>
      <c r="I139" s="17"/>
      <c r="J139" s="19"/>
      <c r="K139" s="82" t="s">
        <v>732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22"/>
      <c r="B140" s="122"/>
      <c r="C140" s="122"/>
      <c r="D140" s="122"/>
      <c r="E140" s="122"/>
      <c r="F140" s="122"/>
      <c r="G140" s="123"/>
      <c r="H140" s="122"/>
      <c r="I140" s="17"/>
      <c r="J140" s="19"/>
      <c r="K140" s="82" t="s">
        <v>733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22"/>
      <c r="B141" s="122"/>
      <c r="C141" s="122"/>
      <c r="D141" s="122"/>
      <c r="E141" s="122"/>
      <c r="F141" s="122"/>
      <c r="G141" s="123"/>
      <c r="H141" s="122"/>
      <c r="I141" s="17"/>
      <c r="J141" s="19"/>
      <c r="K141" s="82" t="s">
        <v>736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22"/>
      <c r="B142" s="122"/>
      <c r="C142" s="122"/>
      <c r="D142" s="122"/>
      <c r="E142" s="122"/>
      <c r="F142" s="122"/>
      <c r="G142" s="123"/>
      <c r="H142" s="122"/>
      <c r="I142" s="17"/>
      <c r="J142" s="19"/>
      <c r="K142" s="82" t="s">
        <v>739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22"/>
      <c r="B143" s="122"/>
      <c r="C143" s="122"/>
      <c r="D143" s="122"/>
      <c r="E143" s="122"/>
      <c r="F143" s="122"/>
      <c r="G143" s="123"/>
      <c r="H143" s="122"/>
      <c r="I143" s="17"/>
      <c r="J143" s="19"/>
      <c r="K143" s="82" t="s">
        <v>742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22"/>
      <c r="B144" s="122"/>
      <c r="C144" s="122"/>
      <c r="D144" s="122"/>
      <c r="E144" s="122"/>
      <c r="F144" s="122"/>
      <c r="G144" s="123"/>
      <c r="H144" s="122"/>
      <c r="I144" s="17"/>
      <c r="J144" s="19"/>
      <c r="K144" s="82" t="s">
        <v>745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22"/>
      <c r="B145" s="122"/>
      <c r="C145" s="122"/>
      <c r="D145" s="122"/>
      <c r="E145" s="122"/>
      <c r="F145" s="122"/>
      <c r="G145" s="123"/>
      <c r="H145" s="122"/>
      <c r="I145" s="17"/>
      <c r="J145" s="19"/>
      <c r="K145" s="82" t="s">
        <v>748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22"/>
      <c r="B146" s="122"/>
      <c r="C146" s="122"/>
      <c r="D146" s="122"/>
      <c r="E146" s="122"/>
      <c r="F146" s="122"/>
      <c r="G146" s="123"/>
      <c r="H146" s="122"/>
      <c r="I146" s="17"/>
      <c r="J146" s="19"/>
      <c r="K146" s="82" t="s">
        <v>749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22"/>
      <c r="B147" s="122"/>
      <c r="C147" s="122"/>
      <c r="D147" s="122"/>
      <c r="E147" s="122"/>
      <c r="F147" s="122"/>
      <c r="G147" s="123"/>
      <c r="H147" s="122"/>
      <c r="I147" s="17"/>
      <c r="J147" s="19"/>
      <c r="K147" s="82" t="s">
        <v>752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22"/>
      <c r="B148" s="122"/>
      <c r="C148" s="122"/>
      <c r="D148" s="122"/>
      <c r="E148" s="122"/>
      <c r="F148" s="122"/>
      <c r="G148" s="123"/>
      <c r="H148" s="122"/>
      <c r="I148" s="17"/>
      <c r="J148" s="19"/>
      <c r="K148" s="82" t="s">
        <v>755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22"/>
      <c r="B149" s="122"/>
      <c r="C149" s="122"/>
      <c r="D149" s="122"/>
      <c r="E149" s="122"/>
      <c r="F149" s="122"/>
      <c r="G149" s="123"/>
      <c r="H149" s="122"/>
      <c r="I149" s="17"/>
      <c r="J149" s="19"/>
      <c r="K149" s="82" t="s">
        <v>758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22"/>
      <c r="B150" s="122"/>
      <c r="C150" s="122"/>
      <c r="D150" s="122"/>
      <c r="E150" s="122"/>
      <c r="F150" s="122"/>
      <c r="G150" s="123"/>
      <c r="H150" s="122"/>
      <c r="I150" s="17"/>
      <c r="J150" s="19"/>
      <c r="K150" s="82" t="s">
        <v>761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22"/>
      <c r="B151" s="122"/>
      <c r="C151" s="122"/>
      <c r="D151" s="122"/>
      <c r="E151" s="122"/>
      <c r="F151" s="122"/>
      <c r="G151" s="123"/>
      <c r="H151" s="122"/>
      <c r="I151" s="17"/>
      <c r="J151" s="19"/>
      <c r="K151" s="82" t="s">
        <v>764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22"/>
      <c r="B152" s="122"/>
      <c r="C152" s="122"/>
      <c r="D152" s="122"/>
      <c r="E152" s="122"/>
      <c r="F152" s="122"/>
      <c r="G152" s="123"/>
      <c r="H152" s="122"/>
      <c r="I152" s="17"/>
      <c r="J152" s="19"/>
      <c r="K152" s="82" t="s">
        <v>767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22"/>
      <c r="B153" s="122"/>
      <c r="C153" s="122"/>
      <c r="D153" s="122"/>
      <c r="E153" s="122"/>
      <c r="F153" s="122"/>
      <c r="G153" s="123"/>
      <c r="H153" s="122"/>
      <c r="I153" s="17"/>
      <c r="J153" s="19"/>
      <c r="K153" s="82" t="s">
        <v>770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22"/>
      <c r="B154" s="122"/>
      <c r="C154" s="122"/>
      <c r="D154" s="122"/>
      <c r="E154" s="122"/>
      <c r="F154" s="122"/>
      <c r="G154" s="123"/>
      <c r="H154" s="122"/>
      <c r="I154" s="17"/>
      <c r="J154" s="19"/>
      <c r="K154" s="82" t="s">
        <v>773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22"/>
      <c r="B155" s="122"/>
      <c r="C155" s="122"/>
      <c r="D155" s="122"/>
      <c r="E155" s="122"/>
      <c r="F155" s="122"/>
      <c r="G155" s="123"/>
      <c r="H155" s="122"/>
      <c r="I155" s="17"/>
      <c r="J155" s="19"/>
      <c r="K155" s="82" t="s">
        <v>776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22"/>
      <c r="B156" s="122"/>
      <c r="C156" s="122"/>
      <c r="D156" s="122"/>
      <c r="E156" s="122"/>
      <c r="F156" s="122"/>
      <c r="G156" s="123"/>
      <c r="H156" s="122"/>
      <c r="I156" s="17"/>
      <c r="J156" s="19"/>
      <c r="K156" s="82" t="s">
        <v>779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22"/>
      <c r="B157" s="122"/>
      <c r="C157" s="122"/>
      <c r="D157" s="122"/>
      <c r="E157" s="122"/>
      <c r="F157" s="122"/>
      <c r="G157" s="123"/>
      <c r="H157" s="122"/>
      <c r="I157" s="17"/>
      <c r="J157" s="19"/>
      <c r="K157" s="82" t="s">
        <v>782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22"/>
      <c r="B158" s="122"/>
      <c r="C158" s="122"/>
      <c r="D158" s="122"/>
      <c r="E158" s="122"/>
      <c r="F158" s="122"/>
      <c r="G158" s="123"/>
      <c r="H158" s="122"/>
      <c r="I158" s="17"/>
      <c r="J158" s="19"/>
      <c r="K158" s="82" t="s">
        <v>785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22"/>
      <c r="B159" s="122"/>
      <c r="C159" s="122"/>
      <c r="D159" s="122"/>
      <c r="E159" s="122"/>
      <c r="F159" s="122"/>
      <c r="G159" s="123"/>
      <c r="H159" s="122"/>
      <c r="I159" s="17"/>
      <c r="J159" s="19"/>
      <c r="K159" s="82" t="s">
        <v>788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22"/>
      <c r="B160" s="122"/>
      <c r="C160" s="122"/>
      <c r="D160" s="122"/>
      <c r="E160" s="122"/>
      <c r="F160" s="122"/>
      <c r="G160" s="123"/>
      <c r="H160" s="122"/>
      <c r="I160" s="17"/>
      <c r="J160" s="19"/>
      <c r="K160" s="82" t="s">
        <v>791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22"/>
      <c r="B161" s="122"/>
      <c r="C161" s="122"/>
      <c r="D161" s="122"/>
      <c r="E161" s="122"/>
      <c r="F161" s="122"/>
      <c r="G161" s="123"/>
      <c r="H161" s="122"/>
      <c r="I161" s="17"/>
      <c r="J161" s="19"/>
      <c r="K161" s="82" t="s">
        <v>794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22"/>
      <c r="B162" s="122"/>
      <c r="C162" s="122"/>
      <c r="D162" s="122"/>
      <c r="E162" s="122"/>
      <c r="F162" s="122"/>
      <c r="G162" s="123"/>
      <c r="H162" s="122"/>
      <c r="I162" s="17"/>
      <c r="J162" s="19"/>
      <c r="K162" s="82" t="s">
        <v>795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22"/>
      <c r="B163" s="122"/>
      <c r="C163" s="122"/>
      <c r="D163" s="122"/>
      <c r="E163" s="122"/>
      <c r="F163" s="122"/>
      <c r="G163" s="123"/>
      <c r="H163" s="122"/>
      <c r="I163" s="17"/>
      <c r="J163" s="19"/>
      <c r="K163" s="82" t="s">
        <v>798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22"/>
      <c r="B164" s="122"/>
      <c r="C164" s="122"/>
      <c r="D164" s="122"/>
      <c r="E164" s="122"/>
      <c r="F164" s="122"/>
      <c r="G164" s="123"/>
      <c r="H164" s="122"/>
      <c r="I164" s="17"/>
      <c r="J164" s="19"/>
      <c r="K164" s="82" t="s">
        <v>801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22"/>
      <c r="B165" s="122"/>
      <c r="C165" s="122"/>
      <c r="D165" s="122"/>
      <c r="E165" s="122"/>
      <c r="F165" s="122"/>
      <c r="G165" s="123"/>
      <c r="H165" s="122"/>
      <c r="I165" s="17"/>
      <c r="J165" s="19"/>
      <c r="K165" s="82" t="s">
        <v>804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22"/>
      <c r="B166" s="122"/>
      <c r="C166" s="122"/>
      <c r="D166" s="122"/>
      <c r="E166" s="122"/>
      <c r="F166" s="122"/>
      <c r="G166" s="123"/>
      <c r="H166" s="122"/>
      <c r="I166" s="17"/>
      <c r="J166" s="19"/>
      <c r="K166" s="82" t="s">
        <v>807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22"/>
      <c r="B167" s="122"/>
      <c r="C167" s="122"/>
      <c r="D167" s="122"/>
      <c r="E167" s="122"/>
      <c r="F167" s="122"/>
      <c r="G167" s="123"/>
      <c r="H167" s="122"/>
      <c r="I167" s="17"/>
      <c r="J167" s="19"/>
      <c r="K167" s="82" t="s">
        <v>810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22"/>
      <c r="B168" s="122"/>
      <c r="C168" s="122"/>
      <c r="D168" s="122"/>
      <c r="E168" s="122"/>
      <c r="F168" s="122"/>
      <c r="G168" s="123"/>
      <c r="H168" s="122"/>
      <c r="I168" s="17"/>
      <c r="J168" s="19"/>
      <c r="K168" s="82" t="s">
        <v>813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22"/>
      <c r="B169" s="122"/>
      <c r="C169" s="122"/>
      <c r="D169" s="122"/>
      <c r="E169" s="122"/>
      <c r="F169" s="122"/>
      <c r="G169" s="123"/>
      <c r="H169" s="122"/>
      <c r="I169" s="17"/>
      <c r="J169" s="19"/>
      <c r="K169" s="82" t="s">
        <v>816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22"/>
      <c r="B170" s="122"/>
      <c r="C170" s="122"/>
      <c r="D170" s="122"/>
      <c r="E170" s="122"/>
      <c r="F170" s="122"/>
      <c r="G170" s="123"/>
      <c r="H170" s="122"/>
      <c r="I170" s="17"/>
      <c r="J170" s="19"/>
      <c r="K170" s="82" t="s">
        <v>819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22"/>
      <c r="B171" s="122"/>
      <c r="C171" s="122"/>
      <c r="D171" s="122"/>
      <c r="E171" s="122"/>
      <c r="F171" s="122"/>
      <c r="G171" s="123"/>
      <c r="H171" s="122"/>
      <c r="I171" s="17"/>
      <c r="J171" s="19"/>
      <c r="K171" s="82" t="s">
        <v>822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22"/>
      <c r="B172" s="122"/>
      <c r="C172" s="122"/>
      <c r="D172" s="122"/>
      <c r="E172" s="122"/>
      <c r="F172" s="122"/>
      <c r="G172" s="123"/>
      <c r="H172" s="122"/>
      <c r="I172" s="17"/>
      <c r="J172" s="19"/>
      <c r="K172" s="82" t="s">
        <v>825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22"/>
      <c r="B173" s="122"/>
      <c r="C173" s="122"/>
      <c r="D173" s="122"/>
      <c r="E173" s="122"/>
      <c r="F173" s="122"/>
      <c r="G173" s="123"/>
      <c r="H173" s="122"/>
      <c r="I173" s="17"/>
      <c r="J173" s="19"/>
      <c r="K173" s="82" t="s">
        <v>828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22"/>
      <c r="B174" s="122"/>
      <c r="C174" s="122"/>
      <c r="D174" s="122"/>
      <c r="E174" s="122"/>
      <c r="F174" s="122"/>
      <c r="G174" s="123"/>
      <c r="H174" s="122"/>
      <c r="I174" s="17"/>
      <c r="J174" s="19"/>
      <c r="K174" s="82" t="s">
        <v>831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22"/>
      <c r="B175" s="122"/>
      <c r="C175" s="122"/>
      <c r="D175" s="122"/>
      <c r="E175" s="122"/>
      <c r="F175" s="122"/>
      <c r="G175" s="123"/>
      <c r="H175" s="122"/>
      <c r="I175" s="17"/>
      <c r="J175" s="19"/>
      <c r="K175" s="82" t="s">
        <v>834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22"/>
      <c r="B176" s="122"/>
      <c r="C176" s="122"/>
      <c r="D176" s="122"/>
      <c r="E176" s="122"/>
      <c r="F176" s="122"/>
      <c r="G176" s="123"/>
      <c r="H176" s="122"/>
      <c r="I176" s="17"/>
      <c r="J176" s="19"/>
      <c r="K176" s="82" t="s">
        <v>837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22"/>
      <c r="B177" s="122"/>
      <c r="C177" s="122"/>
      <c r="D177" s="122"/>
      <c r="E177" s="122"/>
      <c r="F177" s="122"/>
      <c r="G177" s="123"/>
      <c r="H177" s="122"/>
      <c r="I177" s="17"/>
      <c r="J177" s="19"/>
      <c r="K177" s="82" t="s">
        <v>840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22"/>
      <c r="B178" s="122"/>
      <c r="C178" s="122"/>
      <c r="D178" s="122"/>
      <c r="E178" s="122"/>
      <c r="F178" s="122"/>
      <c r="G178" s="123"/>
      <c r="H178" s="122"/>
      <c r="I178" s="17"/>
      <c r="J178" s="19"/>
      <c r="K178" s="82" t="s">
        <v>842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22"/>
      <c r="B179" s="122"/>
      <c r="C179" s="122"/>
      <c r="D179" s="122"/>
      <c r="E179" s="122"/>
      <c r="F179" s="122"/>
      <c r="G179" s="123"/>
      <c r="H179" s="122"/>
      <c r="I179" s="17"/>
      <c r="J179" s="19"/>
      <c r="K179" s="82" t="s">
        <v>845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22"/>
      <c r="B180" s="122"/>
      <c r="C180" s="122"/>
      <c r="D180" s="122"/>
      <c r="E180" s="122"/>
      <c r="F180" s="122"/>
      <c r="G180" s="123"/>
      <c r="H180" s="122"/>
      <c r="I180" s="17"/>
      <c r="J180" s="19"/>
      <c r="K180" s="82" t="s">
        <v>847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22"/>
      <c r="B181" s="122"/>
      <c r="C181" s="122"/>
      <c r="D181" s="122"/>
      <c r="E181" s="122"/>
      <c r="F181" s="122"/>
      <c r="G181" s="123"/>
      <c r="H181" s="122"/>
      <c r="I181" s="17"/>
      <c r="J181" s="19"/>
      <c r="K181" s="82" t="s">
        <v>850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22"/>
      <c r="B182" s="122"/>
      <c r="C182" s="122"/>
      <c r="D182" s="122"/>
      <c r="E182" s="122"/>
      <c r="F182" s="122"/>
      <c r="G182" s="123"/>
      <c r="H182" s="122"/>
      <c r="I182" s="17"/>
      <c r="J182" s="19"/>
      <c r="K182" s="82" t="s">
        <v>853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22"/>
      <c r="B183" s="122"/>
      <c r="C183" s="122"/>
      <c r="D183" s="122"/>
      <c r="E183" s="122"/>
      <c r="F183" s="122"/>
      <c r="G183" s="123"/>
      <c r="H183" s="122"/>
      <c r="I183" s="17"/>
      <c r="J183" s="19"/>
      <c r="K183" s="82" t="s">
        <v>856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22"/>
      <c r="B184" s="122"/>
      <c r="C184" s="122"/>
      <c r="D184" s="122"/>
      <c r="E184" s="122"/>
      <c r="F184" s="122"/>
      <c r="G184" s="123"/>
      <c r="H184" s="122"/>
      <c r="I184" s="17"/>
      <c r="J184" s="19"/>
      <c r="K184" s="82" t="s">
        <v>859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22"/>
      <c r="B185" s="122"/>
      <c r="C185" s="122"/>
      <c r="D185" s="122"/>
      <c r="E185" s="122"/>
      <c r="F185" s="122"/>
      <c r="G185" s="123"/>
      <c r="H185" s="122"/>
      <c r="I185" s="17"/>
      <c r="J185" s="19"/>
      <c r="K185" s="82" t="s">
        <v>862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22"/>
      <c r="B186" s="122"/>
      <c r="C186" s="122"/>
      <c r="D186" s="122"/>
      <c r="E186" s="122"/>
      <c r="F186" s="122"/>
      <c r="G186" s="123"/>
      <c r="H186" s="122"/>
      <c r="I186" s="17"/>
      <c r="J186" s="19"/>
      <c r="K186" s="82" t="s">
        <v>865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22"/>
      <c r="B187" s="122"/>
      <c r="C187" s="122"/>
      <c r="D187" s="122"/>
      <c r="E187" s="122"/>
      <c r="F187" s="122"/>
      <c r="G187" s="123"/>
      <c r="H187" s="122"/>
      <c r="I187" s="17"/>
      <c r="J187" s="19"/>
      <c r="K187" s="82" t="s">
        <v>868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22"/>
      <c r="B188" s="122"/>
      <c r="C188" s="122"/>
      <c r="D188" s="122"/>
      <c r="E188" s="122"/>
      <c r="F188" s="122"/>
      <c r="G188" s="123"/>
      <c r="H188" s="122"/>
      <c r="I188" s="17"/>
      <c r="J188" s="19"/>
      <c r="K188" s="82" t="s">
        <v>871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22"/>
      <c r="B189" s="122"/>
      <c r="C189" s="122"/>
      <c r="D189" s="122"/>
      <c r="E189" s="122"/>
      <c r="F189" s="122"/>
      <c r="G189" s="123"/>
      <c r="H189" s="122"/>
      <c r="I189" s="17"/>
      <c r="J189" s="19"/>
      <c r="K189" s="82" t="s">
        <v>874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22"/>
      <c r="B190" s="122"/>
      <c r="C190" s="122"/>
      <c r="D190" s="122"/>
      <c r="E190" s="122"/>
      <c r="F190" s="122"/>
      <c r="G190" s="123"/>
      <c r="H190" s="122"/>
      <c r="I190" s="17"/>
      <c r="J190" s="19"/>
      <c r="K190" s="82" t="s">
        <v>877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22"/>
      <c r="B191" s="122"/>
      <c r="C191" s="122"/>
      <c r="D191" s="122"/>
      <c r="E191" s="122"/>
      <c r="F191" s="122"/>
      <c r="G191" s="123"/>
      <c r="H191" s="122"/>
      <c r="I191" s="17"/>
      <c r="J191" s="19"/>
      <c r="K191" s="82" t="s">
        <v>577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22"/>
      <c r="B192" s="122"/>
      <c r="C192" s="122"/>
      <c r="D192" s="122"/>
      <c r="E192" s="122"/>
      <c r="F192" s="122"/>
      <c r="G192" s="123"/>
      <c r="H192" s="122"/>
      <c r="I192" s="17"/>
      <c r="J192" s="19"/>
      <c r="K192" s="82" t="s">
        <v>882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22"/>
      <c r="B193" s="122"/>
      <c r="C193" s="122"/>
      <c r="D193" s="122"/>
      <c r="E193" s="122"/>
      <c r="F193" s="122"/>
      <c r="G193" s="123"/>
      <c r="H193" s="122"/>
      <c r="I193" s="17"/>
      <c r="J193" s="19"/>
      <c r="K193" s="82" t="s">
        <v>883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22"/>
      <c r="B194" s="122"/>
      <c r="C194" s="122"/>
      <c r="D194" s="122"/>
      <c r="E194" s="122"/>
      <c r="F194" s="122"/>
      <c r="G194" s="123"/>
      <c r="H194" s="122"/>
      <c r="I194" s="17"/>
      <c r="J194" s="19"/>
      <c r="K194" s="82" t="s">
        <v>886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22"/>
      <c r="B195" s="122"/>
      <c r="C195" s="122"/>
      <c r="D195" s="122"/>
      <c r="E195" s="122"/>
      <c r="F195" s="122"/>
      <c r="G195" s="123"/>
      <c r="H195" s="122"/>
      <c r="I195" s="17"/>
      <c r="J195" s="19"/>
      <c r="K195" s="82" t="s">
        <v>889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22"/>
      <c r="B196" s="122"/>
      <c r="C196" s="122"/>
      <c r="D196" s="122"/>
      <c r="E196" s="122"/>
      <c r="F196" s="122"/>
      <c r="G196" s="123"/>
      <c r="H196" s="122"/>
      <c r="I196" s="17"/>
      <c r="J196" s="19"/>
      <c r="K196" s="82" t="s">
        <v>892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22"/>
      <c r="B197" s="122"/>
      <c r="C197" s="122"/>
      <c r="D197" s="122"/>
      <c r="E197" s="122"/>
      <c r="F197" s="122"/>
      <c r="G197" s="123"/>
      <c r="H197" s="122"/>
      <c r="I197" s="17"/>
      <c r="J197" s="19"/>
      <c r="K197" s="82" t="s">
        <v>581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22"/>
      <c r="B198" s="122"/>
      <c r="C198" s="122"/>
      <c r="D198" s="122"/>
      <c r="E198" s="122"/>
      <c r="F198" s="122"/>
      <c r="G198" s="123"/>
      <c r="H198" s="122"/>
      <c r="I198" s="17"/>
      <c r="J198" s="19"/>
      <c r="K198" s="82" t="s">
        <v>900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22"/>
      <c r="B199" s="122"/>
      <c r="C199" s="122"/>
      <c r="D199" s="122"/>
      <c r="E199" s="122"/>
      <c r="F199" s="122"/>
      <c r="G199" s="123"/>
      <c r="H199" s="122"/>
      <c r="I199" s="17"/>
      <c r="J199" s="19"/>
      <c r="K199" s="82" t="s">
        <v>904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22"/>
      <c r="B200" s="122"/>
      <c r="C200" s="122"/>
      <c r="D200" s="122"/>
      <c r="E200" s="122"/>
      <c r="F200" s="122"/>
      <c r="G200" s="123"/>
      <c r="H200" s="122"/>
      <c r="I200" s="17"/>
      <c r="J200" s="19"/>
      <c r="K200" s="82" t="s">
        <v>906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22"/>
      <c r="B201" s="122"/>
      <c r="C201" s="122"/>
      <c r="D201" s="122"/>
      <c r="E201" s="122"/>
      <c r="F201" s="122"/>
      <c r="G201" s="123"/>
      <c r="H201" s="122"/>
      <c r="I201" s="17"/>
      <c r="J201" s="19"/>
      <c r="K201" s="82" t="s">
        <v>909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22"/>
      <c r="B202" s="122"/>
      <c r="C202" s="122"/>
      <c r="D202" s="122"/>
      <c r="E202" s="122"/>
      <c r="F202" s="122"/>
      <c r="G202" s="123"/>
      <c r="H202" s="122"/>
      <c r="I202" s="17"/>
      <c r="J202" s="19"/>
      <c r="K202" s="82" t="s">
        <v>912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22"/>
      <c r="B203" s="122"/>
      <c r="C203" s="122"/>
      <c r="D203" s="122"/>
      <c r="E203" s="122"/>
      <c r="F203" s="122"/>
      <c r="G203" s="123"/>
      <c r="H203" s="122"/>
      <c r="I203" s="17"/>
      <c r="J203" s="19"/>
      <c r="K203" s="82" t="s">
        <v>915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22"/>
      <c r="B204" s="122"/>
      <c r="C204" s="122"/>
      <c r="D204" s="122"/>
      <c r="E204" s="122"/>
      <c r="F204" s="122"/>
      <c r="G204" s="123"/>
      <c r="H204" s="122"/>
      <c r="I204" s="17"/>
      <c r="J204" s="19"/>
      <c r="K204" s="82" t="s">
        <v>918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22"/>
      <c r="B205" s="122"/>
      <c r="C205" s="122"/>
      <c r="D205" s="122"/>
      <c r="E205" s="122"/>
      <c r="F205" s="122"/>
      <c r="G205" s="123"/>
      <c r="H205" s="122"/>
      <c r="I205" s="17"/>
      <c r="J205" s="19"/>
      <c r="K205" s="82" t="s">
        <v>921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22"/>
      <c r="B206" s="122"/>
      <c r="C206" s="122"/>
      <c r="D206" s="122"/>
      <c r="E206" s="122"/>
      <c r="F206" s="122"/>
      <c r="G206" s="123"/>
      <c r="H206" s="122"/>
      <c r="I206" s="17"/>
      <c r="J206" s="19"/>
      <c r="K206" s="82" t="s">
        <v>923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22"/>
      <c r="B207" s="122"/>
      <c r="C207" s="122"/>
      <c r="D207" s="122"/>
      <c r="E207" s="122"/>
      <c r="F207" s="122"/>
      <c r="G207" s="123"/>
      <c r="H207" s="122"/>
      <c r="I207" s="17"/>
      <c r="J207" s="19"/>
      <c r="K207" s="82" t="s">
        <v>587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22"/>
      <c r="B208" s="122"/>
      <c r="C208" s="122"/>
      <c r="D208" s="122"/>
      <c r="E208" s="122"/>
      <c r="F208" s="122"/>
      <c r="G208" s="123"/>
      <c r="H208" s="122"/>
      <c r="I208" s="17"/>
      <c r="J208" s="19"/>
      <c r="K208" s="82" t="s">
        <v>928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22"/>
      <c r="B209" s="122"/>
      <c r="C209" s="122"/>
      <c r="D209" s="122"/>
      <c r="E209" s="122"/>
      <c r="F209" s="122"/>
      <c r="G209" s="123"/>
      <c r="H209" s="122"/>
      <c r="I209" s="17"/>
      <c r="J209" s="19"/>
      <c r="K209" s="82" t="s">
        <v>930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22"/>
      <c r="B210" s="122"/>
      <c r="C210" s="122"/>
      <c r="D210" s="122"/>
      <c r="E210" s="122"/>
      <c r="F210" s="122"/>
      <c r="G210" s="123"/>
      <c r="H210" s="122"/>
      <c r="I210" s="17"/>
      <c r="J210" s="19"/>
      <c r="K210" s="82" t="s">
        <v>933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22"/>
      <c r="B211" s="122"/>
      <c r="C211" s="122"/>
      <c r="D211" s="122"/>
      <c r="E211" s="122"/>
      <c r="F211" s="122"/>
      <c r="G211" s="123"/>
      <c r="H211" s="122"/>
      <c r="I211" s="17"/>
      <c r="J211" s="19"/>
      <c r="K211" s="82" t="s">
        <v>936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22"/>
      <c r="B212" s="122"/>
      <c r="C212" s="122"/>
      <c r="D212" s="122"/>
      <c r="E212" s="122"/>
      <c r="F212" s="122"/>
      <c r="G212" s="123"/>
      <c r="H212" s="122"/>
      <c r="I212" s="17"/>
      <c r="J212" s="19"/>
      <c r="K212" s="82" t="s">
        <v>939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22"/>
      <c r="B213" s="122"/>
      <c r="C213" s="122"/>
      <c r="D213" s="122"/>
      <c r="E213" s="122"/>
      <c r="F213" s="122"/>
      <c r="G213" s="123"/>
      <c r="H213" s="122"/>
      <c r="I213" s="17"/>
      <c r="J213" s="19"/>
      <c r="K213" s="82" t="s">
        <v>940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22"/>
      <c r="B214" s="122"/>
      <c r="C214" s="122"/>
      <c r="D214" s="122"/>
      <c r="E214" s="122"/>
      <c r="F214" s="122"/>
      <c r="G214" s="123"/>
      <c r="H214" s="122"/>
      <c r="I214" s="17"/>
      <c r="J214" s="19"/>
      <c r="K214" s="82" t="s">
        <v>943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22"/>
      <c r="B215" s="122"/>
      <c r="C215" s="122"/>
      <c r="D215" s="122"/>
      <c r="E215" s="122"/>
      <c r="F215" s="122"/>
      <c r="G215" s="123"/>
      <c r="H215" s="122"/>
      <c r="I215" s="17"/>
      <c r="J215" s="19"/>
      <c r="K215" s="82" t="s">
        <v>946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22"/>
      <c r="B216" s="122"/>
      <c r="C216" s="122"/>
      <c r="D216" s="122"/>
      <c r="E216" s="122"/>
      <c r="F216" s="122"/>
      <c r="G216" s="123"/>
      <c r="H216" s="122"/>
      <c r="I216" s="17"/>
      <c r="J216" s="19"/>
      <c r="K216" s="82" t="s">
        <v>949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22"/>
      <c r="B217" s="122"/>
      <c r="C217" s="122"/>
      <c r="D217" s="122"/>
      <c r="E217" s="122"/>
      <c r="F217" s="122"/>
      <c r="G217" s="123"/>
      <c r="H217" s="122"/>
      <c r="I217" s="17"/>
      <c r="J217" s="19"/>
      <c r="K217" s="82" t="s">
        <v>952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22"/>
      <c r="B218" s="122"/>
      <c r="C218" s="122"/>
      <c r="D218" s="122"/>
      <c r="E218" s="122"/>
      <c r="F218" s="122"/>
      <c r="G218" s="123"/>
      <c r="H218" s="122"/>
      <c r="I218" s="17"/>
      <c r="J218" s="19"/>
      <c r="K218" s="82" t="s">
        <v>955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22"/>
      <c r="B219" s="122"/>
      <c r="C219" s="122"/>
      <c r="D219" s="122"/>
      <c r="E219" s="122"/>
      <c r="F219" s="122"/>
      <c r="G219" s="123"/>
      <c r="H219" s="122"/>
      <c r="I219" s="17"/>
      <c r="J219" s="19"/>
      <c r="K219" s="82" t="s">
        <v>958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22"/>
      <c r="B220" s="122"/>
      <c r="C220" s="122"/>
      <c r="D220" s="122"/>
      <c r="E220" s="122"/>
      <c r="F220" s="122"/>
      <c r="G220" s="123"/>
      <c r="H220" s="122"/>
      <c r="I220" s="17"/>
      <c r="J220" s="19"/>
      <c r="K220" s="82" t="s">
        <v>959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22"/>
      <c r="B221" s="122"/>
      <c r="C221" s="122"/>
      <c r="D221" s="122"/>
      <c r="E221" s="122"/>
      <c r="F221" s="122"/>
      <c r="G221" s="123"/>
      <c r="H221" s="122"/>
      <c r="I221" s="17"/>
      <c r="J221" s="19"/>
      <c r="K221" s="82" t="s">
        <v>962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22"/>
      <c r="B222" s="122"/>
      <c r="C222" s="122"/>
      <c r="D222" s="122"/>
      <c r="E222" s="122"/>
      <c r="F222" s="122"/>
      <c r="G222" s="123"/>
      <c r="H222" s="122"/>
      <c r="I222" s="17"/>
      <c r="J222" s="19"/>
      <c r="K222" s="82" t="s">
        <v>965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22"/>
      <c r="B223" s="122"/>
      <c r="C223" s="122"/>
      <c r="D223" s="122"/>
      <c r="E223" s="122"/>
      <c r="F223" s="122"/>
      <c r="G223" s="123"/>
      <c r="H223" s="122"/>
      <c r="I223" s="17"/>
      <c r="J223" s="19"/>
      <c r="K223" s="82" t="s">
        <v>968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22"/>
      <c r="B224" s="122"/>
      <c r="C224" s="122"/>
      <c r="D224" s="122"/>
      <c r="E224" s="122"/>
      <c r="F224" s="122"/>
      <c r="G224" s="123"/>
      <c r="H224" s="122"/>
      <c r="I224" s="17"/>
      <c r="J224" s="19"/>
      <c r="K224" s="82" t="s">
        <v>971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22"/>
      <c r="B225" s="122"/>
      <c r="C225" s="122"/>
      <c r="D225" s="122"/>
      <c r="E225" s="122"/>
      <c r="F225" s="122"/>
      <c r="G225" s="123"/>
      <c r="H225" s="122"/>
      <c r="I225" s="17"/>
      <c r="J225" s="19"/>
      <c r="K225" s="82" t="s">
        <v>974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22"/>
      <c r="B226" s="122"/>
      <c r="C226" s="122"/>
      <c r="D226" s="122"/>
      <c r="E226" s="122"/>
      <c r="F226" s="122"/>
      <c r="G226" s="123"/>
      <c r="H226" s="122"/>
      <c r="I226" s="17"/>
      <c r="J226" s="19"/>
      <c r="K226" s="82" t="s">
        <v>977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22"/>
      <c r="B227" s="122"/>
      <c r="C227" s="122"/>
      <c r="D227" s="122"/>
      <c r="E227" s="122"/>
      <c r="F227" s="122"/>
      <c r="G227" s="123"/>
      <c r="H227" s="122"/>
      <c r="I227" s="17"/>
      <c r="J227" s="19"/>
      <c r="K227" s="82" t="s">
        <v>978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22"/>
      <c r="B228" s="122"/>
      <c r="C228" s="122"/>
      <c r="D228" s="122"/>
      <c r="E228" s="122"/>
      <c r="F228" s="122"/>
      <c r="G228" s="123"/>
      <c r="H228" s="122"/>
      <c r="I228" s="17"/>
      <c r="J228" s="19"/>
      <c r="K228" s="82" t="s">
        <v>981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22"/>
      <c r="B229" s="122"/>
      <c r="C229" s="122"/>
      <c r="D229" s="122"/>
      <c r="E229" s="122"/>
      <c r="F229" s="122"/>
      <c r="G229" s="123"/>
      <c r="H229" s="122"/>
      <c r="I229" s="17"/>
      <c r="J229" s="19"/>
      <c r="K229" s="82" t="s">
        <v>984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22"/>
      <c r="B230" s="122"/>
      <c r="C230" s="122"/>
      <c r="D230" s="122"/>
      <c r="E230" s="122"/>
      <c r="F230" s="122"/>
      <c r="G230" s="123"/>
      <c r="H230" s="122"/>
      <c r="I230" s="17"/>
      <c r="J230" s="19"/>
      <c r="K230" s="82" t="s">
        <v>985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22"/>
      <c r="B231" s="122"/>
      <c r="C231" s="122"/>
      <c r="D231" s="122"/>
      <c r="E231" s="122"/>
      <c r="F231" s="122"/>
      <c r="G231" s="123"/>
      <c r="H231" s="122"/>
      <c r="I231" s="17"/>
      <c r="J231" s="19"/>
      <c r="K231" s="82" t="s">
        <v>988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22"/>
      <c r="B232" s="122"/>
      <c r="C232" s="122"/>
      <c r="D232" s="122"/>
      <c r="E232" s="122"/>
      <c r="F232" s="122"/>
      <c r="G232" s="123"/>
      <c r="H232" s="122"/>
      <c r="I232" s="17"/>
      <c r="J232" s="19"/>
      <c r="K232" s="82" t="s">
        <v>989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22"/>
      <c r="B233" s="122"/>
      <c r="C233" s="122"/>
      <c r="D233" s="122"/>
      <c r="E233" s="122"/>
      <c r="F233" s="122"/>
      <c r="G233" s="123"/>
      <c r="H233" s="122"/>
      <c r="I233" s="17"/>
      <c r="J233" s="19"/>
      <c r="K233" s="82" t="s">
        <v>992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22"/>
      <c r="B234" s="122"/>
      <c r="C234" s="122"/>
      <c r="D234" s="122"/>
      <c r="E234" s="122"/>
      <c r="F234" s="122"/>
      <c r="G234" s="123"/>
      <c r="H234" s="122"/>
      <c r="I234" s="17"/>
      <c r="J234" s="19"/>
      <c r="K234" s="82" t="s">
        <v>995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22"/>
      <c r="B235" s="122"/>
      <c r="C235" s="122"/>
      <c r="D235" s="122"/>
      <c r="E235" s="122"/>
      <c r="F235" s="122"/>
      <c r="G235" s="123"/>
      <c r="H235" s="122"/>
      <c r="I235" s="17"/>
      <c r="J235" s="19"/>
      <c r="K235" s="82" t="s">
        <v>998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22"/>
      <c r="B236" s="122"/>
      <c r="C236" s="122"/>
      <c r="D236" s="122"/>
      <c r="E236" s="122"/>
      <c r="F236" s="122"/>
      <c r="G236" s="123"/>
      <c r="H236" s="122"/>
      <c r="I236" s="17"/>
      <c r="J236" s="19"/>
      <c r="K236" s="82" t="s">
        <v>1001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22"/>
      <c r="B237" s="122"/>
      <c r="C237" s="122"/>
      <c r="D237" s="122"/>
      <c r="E237" s="122"/>
      <c r="F237" s="122"/>
      <c r="G237" s="123"/>
      <c r="H237" s="122"/>
      <c r="I237" s="17"/>
      <c r="J237" s="19"/>
      <c r="K237" s="82" t="s">
        <v>1004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22"/>
      <c r="B238" s="122"/>
      <c r="C238" s="122"/>
      <c r="D238" s="122"/>
      <c r="E238" s="122"/>
      <c r="F238" s="122"/>
      <c r="G238" s="123"/>
      <c r="H238" s="122"/>
      <c r="I238" s="17"/>
      <c r="J238" s="19"/>
      <c r="K238" s="82" t="s">
        <v>1005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22"/>
      <c r="B239" s="122"/>
      <c r="C239" s="122"/>
      <c r="D239" s="122"/>
      <c r="E239" s="122"/>
      <c r="F239" s="122"/>
      <c r="G239" s="123"/>
      <c r="H239" s="122"/>
      <c r="I239" s="17"/>
      <c r="J239" s="19"/>
      <c r="K239" s="82" t="s">
        <v>1010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22"/>
      <c r="B240" s="122"/>
      <c r="C240" s="122"/>
      <c r="D240" s="122"/>
      <c r="E240" s="122"/>
      <c r="F240" s="122"/>
      <c r="G240" s="123"/>
      <c r="H240" s="122"/>
      <c r="I240" s="17"/>
      <c r="J240" s="19"/>
      <c r="K240" s="82" t="s">
        <v>1013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22"/>
      <c r="B241" s="122"/>
      <c r="C241" s="122"/>
      <c r="D241" s="122"/>
      <c r="E241" s="122"/>
      <c r="F241" s="122"/>
      <c r="G241" s="123"/>
      <c r="H241" s="122"/>
      <c r="I241" s="17"/>
      <c r="J241" s="19"/>
      <c r="K241" s="82" t="s">
        <v>1016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22"/>
      <c r="B242" s="122"/>
      <c r="C242" s="122"/>
      <c r="D242" s="122"/>
      <c r="E242" s="122"/>
      <c r="F242" s="122"/>
      <c r="G242" s="123"/>
      <c r="H242" s="122"/>
      <c r="I242" s="17"/>
      <c r="J242" s="19"/>
      <c r="K242" s="82" t="s">
        <v>1018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22"/>
      <c r="B243" s="122"/>
      <c r="C243" s="122"/>
      <c r="D243" s="122"/>
      <c r="E243" s="122"/>
      <c r="F243" s="122"/>
      <c r="G243" s="123"/>
      <c r="H243" s="122"/>
      <c r="I243" s="17"/>
      <c r="J243" s="19"/>
      <c r="K243" s="82" t="s">
        <v>1020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22"/>
      <c r="B244" s="122"/>
      <c r="C244" s="122"/>
      <c r="D244" s="122"/>
      <c r="E244" s="122"/>
      <c r="F244" s="122"/>
      <c r="G244" s="123"/>
      <c r="H244" s="122"/>
      <c r="I244" s="17"/>
      <c r="J244" s="19"/>
      <c r="K244" s="82" t="s">
        <v>1023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22"/>
      <c r="B245" s="122"/>
      <c r="C245" s="122"/>
      <c r="D245" s="122"/>
      <c r="E245" s="122"/>
      <c r="F245" s="122"/>
      <c r="G245" s="123"/>
      <c r="H245" s="122"/>
      <c r="I245" s="17"/>
      <c r="J245" s="19"/>
      <c r="K245" s="82" t="s">
        <v>1026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22"/>
      <c r="B246" s="122"/>
      <c r="C246" s="122"/>
      <c r="D246" s="122"/>
      <c r="E246" s="122"/>
      <c r="F246" s="122"/>
      <c r="G246" s="123"/>
      <c r="H246" s="122"/>
      <c r="I246" s="17"/>
      <c r="J246" s="19"/>
      <c r="K246" s="82" t="s">
        <v>1029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22"/>
      <c r="B247" s="122"/>
      <c r="C247" s="122"/>
      <c r="D247" s="122"/>
      <c r="E247" s="122"/>
      <c r="F247" s="122"/>
      <c r="G247" s="123"/>
      <c r="H247" s="122"/>
      <c r="I247" s="17"/>
      <c r="J247" s="19"/>
      <c r="K247" s="82" t="s">
        <v>1031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22"/>
      <c r="B248" s="122"/>
      <c r="C248" s="122"/>
      <c r="D248" s="122"/>
      <c r="E248" s="122"/>
      <c r="F248" s="122"/>
      <c r="G248" s="123"/>
      <c r="H248" s="122"/>
      <c r="I248" s="17"/>
      <c r="J248" s="19"/>
      <c r="K248" s="82" t="s">
        <v>1033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22"/>
      <c r="B249" s="122"/>
      <c r="C249" s="122"/>
      <c r="D249" s="122"/>
      <c r="E249" s="122"/>
      <c r="F249" s="122"/>
      <c r="G249" s="123"/>
      <c r="H249" s="122"/>
      <c r="I249" s="17"/>
      <c r="J249" s="19"/>
      <c r="K249" s="82" t="s">
        <v>1036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22"/>
      <c r="B250" s="122"/>
      <c r="C250" s="122"/>
      <c r="D250" s="122"/>
      <c r="E250" s="122"/>
      <c r="F250" s="122"/>
      <c r="G250" s="123"/>
      <c r="H250" s="122"/>
      <c r="I250" s="17"/>
      <c r="J250" s="19"/>
      <c r="K250" s="82" t="s">
        <v>1039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22"/>
      <c r="B251" s="122"/>
      <c r="C251" s="122"/>
      <c r="D251" s="122"/>
      <c r="E251" s="122"/>
      <c r="F251" s="122"/>
      <c r="G251" s="123"/>
      <c r="H251" s="122"/>
      <c r="I251" s="17"/>
      <c r="J251" s="19"/>
      <c r="K251" s="82" t="s">
        <v>1041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22"/>
      <c r="B252" s="122"/>
      <c r="C252" s="122"/>
      <c r="D252" s="122"/>
      <c r="E252" s="122"/>
      <c r="F252" s="122"/>
      <c r="G252" s="123"/>
      <c r="H252" s="122"/>
      <c r="I252" s="17"/>
      <c r="J252" s="19"/>
      <c r="K252" s="82" t="s">
        <v>1043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22"/>
      <c r="B253" s="122"/>
      <c r="C253" s="122"/>
      <c r="D253" s="122"/>
      <c r="E253" s="122"/>
      <c r="F253" s="122"/>
      <c r="G253" s="123"/>
      <c r="H253" s="122"/>
      <c r="I253" s="17"/>
      <c r="J253" s="19"/>
      <c r="K253" s="82" t="s">
        <v>1046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22"/>
      <c r="B254" s="122"/>
      <c r="C254" s="122"/>
      <c r="D254" s="122"/>
      <c r="E254" s="122"/>
      <c r="F254" s="122"/>
      <c r="G254" s="123"/>
      <c r="H254" s="122"/>
      <c r="I254" s="17"/>
      <c r="J254" s="19"/>
      <c r="K254" s="82" t="s">
        <v>1049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22"/>
      <c r="B255" s="122"/>
      <c r="C255" s="122"/>
      <c r="D255" s="122"/>
      <c r="E255" s="122"/>
      <c r="F255" s="122"/>
      <c r="G255" s="123"/>
      <c r="H255" s="122"/>
      <c r="I255" s="17"/>
      <c r="J255" s="19"/>
      <c r="K255" s="82" t="s">
        <v>1052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22"/>
      <c r="B256" s="122"/>
      <c r="C256" s="122"/>
      <c r="D256" s="122"/>
      <c r="E256" s="122"/>
      <c r="F256" s="122"/>
      <c r="G256" s="123"/>
      <c r="H256" s="122"/>
      <c r="I256" s="17"/>
      <c r="J256" s="19"/>
      <c r="K256" s="82" t="s">
        <v>1055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22"/>
      <c r="B257" s="122"/>
      <c r="C257" s="122"/>
      <c r="D257" s="122"/>
      <c r="E257" s="122"/>
      <c r="F257" s="122"/>
      <c r="G257" s="123"/>
      <c r="H257" s="122"/>
      <c r="I257" s="17"/>
      <c r="J257" s="19"/>
      <c r="K257" s="82" t="s">
        <v>1058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22"/>
      <c r="B258" s="122"/>
      <c r="C258" s="122"/>
      <c r="D258" s="122"/>
      <c r="E258" s="122"/>
      <c r="F258" s="122"/>
      <c r="G258" s="123"/>
      <c r="H258" s="122"/>
      <c r="I258" s="17"/>
      <c r="J258" s="19"/>
      <c r="K258" s="82" t="s">
        <v>1061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22"/>
      <c r="B259" s="122"/>
      <c r="C259" s="122"/>
      <c r="D259" s="122"/>
      <c r="E259" s="122"/>
      <c r="F259" s="122"/>
      <c r="G259" s="123"/>
      <c r="H259" s="122"/>
      <c r="I259" s="17"/>
      <c r="J259" s="19"/>
      <c r="K259" s="82" t="s">
        <v>1064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22"/>
      <c r="B260" s="122"/>
      <c r="C260" s="122"/>
      <c r="D260" s="122"/>
      <c r="E260" s="122"/>
      <c r="F260" s="122"/>
      <c r="G260" s="123"/>
      <c r="H260" s="122"/>
      <c r="I260" s="17"/>
      <c r="J260" s="19"/>
      <c r="K260" s="82" t="s">
        <v>1067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22"/>
      <c r="B261" s="122"/>
      <c r="C261" s="122"/>
      <c r="D261" s="122"/>
      <c r="E261" s="122"/>
      <c r="F261" s="122"/>
      <c r="G261" s="123"/>
      <c r="H261" s="122"/>
      <c r="I261" s="17"/>
      <c r="J261" s="19"/>
      <c r="K261" s="82" t="s">
        <v>1069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22"/>
      <c r="B262" s="122"/>
      <c r="C262" s="122"/>
      <c r="D262" s="122"/>
      <c r="E262" s="122"/>
      <c r="F262" s="122"/>
      <c r="G262" s="123"/>
      <c r="H262" s="122"/>
      <c r="I262" s="17"/>
      <c r="J262" s="19"/>
      <c r="K262" s="82" t="s">
        <v>1071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22"/>
      <c r="B263" s="122"/>
      <c r="C263" s="122"/>
      <c r="D263" s="122"/>
      <c r="E263" s="122"/>
      <c r="F263" s="122"/>
      <c r="G263" s="123"/>
      <c r="H263" s="122"/>
      <c r="I263" s="17"/>
      <c r="J263" s="19"/>
      <c r="K263" s="82" t="s">
        <v>1074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22"/>
      <c r="B264" s="122"/>
      <c r="C264" s="122"/>
      <c r="D264" s="122"/>
      <c r="E264" s="122"/>
      <c r="F264" s="122"/>
      <c r="G264" s="123"/>
      <c r="H264" s="122"/>
      <c r="I264" s="17"/>
      <c r="J264" s="19"/>
      <c r="K264" s="82" t="s">
        <v>1077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22"/>
      <c r="B265" s="122"/>
      <c r="C265" s="122"/>
      <c r="D265" s="122"/>
      <c r="E265" s="122"/>
      <c r="F265" s="122"/>
      <c r="G265" s="123"/>
      <c r="H265" s="122"/>
      <c r="I265" s="17"/>
      <c r="J265" s="19"/>
      <c r="K265" s="82" t="s">
        <v>1080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22"/>
      <c r="B266" s="122"/>
      <c r="C266" s="122"/>
      <c r="D266" s="122"/>
      <c r="E266" s="122"/>
      <c r="F266" s="122"/>
      <c r="G266" s="123"/>
      <c r="H266" s="122"/>
      <c r="I266" s="17"/>
      <c r="J266" s="19"/>
      <c r="K266" s="82" t="s">
        <v>1083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22"/>
      <c r="B267" s="122"/>
      <c r="C267" s="122"/>
      <c r="D267" s="122"/>
      <c r="E267" s="122"/>
      <c r="F267" s="122"/>
      <c r="G267" s="123"/>
      <c r="H267" s="122"/>
      <c r="I267" s="17"/>
      <c r="J267" s="19"/>
      <c r="K267" s="82" t="s">
        <v>1086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22"/>
      <c r="B268" s="122"/>
      <c r="C268" s="122"/>
      <c r="D268" s="122"/>
      <c r="E268" s="122"/>
      <c r="F268" s="122"/>
      <c r="G268" s="123"/>
      <c r="H268" s="122"/>
      <c r="I268" s="17"/>
      <c r="J268" s="19"/>
      <c r="K268" s="82" t="s">
        <v>1089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22"/>
      <c r="B269" s="122"/>
      <c r="C269" s="122"/>
      <c r="D269" s="122"/>
      <c r="E269" s="122"/>
      <c r="F269" s="122"/>
      <c r="G269" s="123"/>
      <c r="H269" s="122"/>
      <c r="I269" s="17"/>
      <c r="J269" s="19"/>
      <c r="K269" s="82" t="s">
        <v>1092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22"/>
      <c r="B270" s="122"/>
      <c r="C270" s="122"/>
      <c r="D270" s="122"/>
      <c r="E270" s="122"/>
      <c r="F270" s="122"/>
      <c r="G270" s="123"/>
      <c r="H270" s="122"/>
      <c r="I270" s="17"/>
      <c r="J270" s="19"/>
      <c r="K270" s="82" t="s">
        <v>1095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22"/>
      <c r="B271" s="122"/>
      <c r="C271" s="122"/>
      <c r="D271" s="122"/>
      <c r="E271" s="122"/>
      <c r="F271" s="122"/>
      <c r="G271" s="123"/>
      <c r="H271" s="122"/>
      <c r="I271" s="17"/>
      <c r="J271" s="19"/>
      <c r="K271" s="82" t="s">
        <v>1098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22"/>
      <c r="B272" s="122"/>
      <c r="C272" s="122"/>
      <c r="D272" s="122"/>
      <c r="E272" s="122"/>
      <c r="F272" s="122"/>
      <c r="G272" s="123"/>
      <c r="H272" s="122"/>
      <c r="I272" s="17"/>
      <c r="J272" s="19"/>
      <c r="K272" s="82" t="s">
        <v>1101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22"/>
      <c r="B273" s="122"/>
      <c r="C273" s="122"/>
      <c r="D273" s="122"/>
      <c r="E273" s="122"/>
      <c r="F273" s="122"/>
      <c r="G273" s="123"/>
      <c r="H273" s="122"/>
      <c r="I273" s="17"/>
      <c r="J273" s="19"/>
      <c r="K273" s="82" t="s">
        <v>1104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22"/>
      <c r="B274" s="122"/>
      <c r="C274" s="122"/>
      <c r="D274" s="122"/>
      <c r="E274" s="122"/>
      <c r="F274" s="122"/>
      <c r="G274" s="123"/>
      <c r="H274" s="122"/>
      <c r="I274" s="17"/>
      <c r="J274" s="19"/>
      <c r="K274" s="82" t="s">
        <v>1105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22"/>
      <c r="B275" s="122"/>
      <c r="C275" s="122"/>
      <c r="D275" s="122"/>
      <c r="E275" s="122"/>
      <c r="F275" s="122"/>
      <c r="G275" s="123"/>
      <c r="H275" s="122"/>
      <c r="I275" s="17"/>
      <c r="J275" s="19"/>
      <c r="K275" s="82" t="s">
        <v>1108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22"/>
      <c r="B276" s="122"/>
      <c r="C276" s="122"/>
      <c r="D276" s="122"/>
      <c r="E276" s="122"/>
      <c r="F276" s="122"/>
      <c r="G276" s="123"/>
      <c r="H276" s="122"/>
      <c r="I276" s="17"/>
      <c r="J276" s="19"/>
      <c r="K276" s="82" t="s">
        <v>1111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22"/>
      <c r="B277" s="122"/>
      <c r="C277" s="122"/>
      <c r="D277" s="122"/>
      <c r="E277" s="122"/>
      <c r="F277" s="122"/>
      <c r="G277" s="123"/>
      <c r="H277" s="122"/>
      <c r="I277" s="17"/>
      <c r="J277" s="19"/>
      <c r="K277" s="82" t="s">
        <v>1116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22"/>
      <c r="B278" s="122"/>
      <c r="C278" s="122"/>
      <c r="D278" s="122"/>
      <c r="E278" s="122"/>
      <c r="F278" s="122"/>
      <c r="G278" s="123"/>
      <c r="H278" s="122"/>
      <c r="I278" s="17"/>
      <c r="J278" s="19"/>
      <c r="K278" s="82" t="s">
        <v>1119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22"/>
      <c r="B279" s="122"/>
      <c r="C279" s="122"/>
      <c r="D279" s="122"/>
      <c r="E279" s="122"/>
      <c r="F279" s="122"/>
      <c r="G279" s="123"/>
      <c r="H279" s="122"/>
      <c r="I279" s="17"/>
      <c r="J279" s="19"/>
      <c r="K279" s="82" t="s">
        <v>1122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22"/>
      <c r="B280" s="122"/>
      <c r="C280" s="122"/>
      <c r="D280" s="122"/>
      <c r="E280" s="122"/>
      <c r="F280" s="122"/>
      <c r="G280" s="123"/>
      <c r="H280" s="122"/>
      <c r="I280" s="17"/>
      <c r="J280" s="19"/>
      <c r="K280" s="82" t="s">
        <v>1123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22"/>
      <c r="B281" s="122"/>
      <c r="C281" s="122"/>
      <c r="D281" s="122"/>
      <c r="E281" s="122"/>
      <c r="F281" s="122"/>
      <c r="G281" s="123"/>
      <c r="H281" s="122"/>
      <c r="I281" s="17"/>
      <c r="J281" s="19"/>
      <c r="K281" s="82" t="s">
        <v>1126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22"/>
      <c r="B282" s="122"/>
      <c r="C282" s="122"/>
      <c r="D282" s="122"/>
      <c r="E282" s="122"/>
      <c r="F282" s="122"/>
      <c r="G282" s="123"/>
      <c r="H282" s="122"/>
      <c r="I282" s="17"/>
      <c r="J282" s="19"/>
      <c r="K282" s="82" t="s">
        <v>1129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22"/>
      <c r="B283" s="122"/>
      <c r="C283" s="122"/>
      <c r="D283" s="122"/>
      <c r="E283" s="122"/>
      <c r="F283" s="122"/>
      <c r="G283" s="123"/>
      <c r="H283" s="122"/>
      <c r="I283" s="17"/>
      <c r="J283" s="19"/>
      <c r="K283" s="82" t="s">
        <v>1132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22"/>
      <c r="B284" s="122"/>
      <c r="C284" s="122"/>
      <c r="D284" s="122"/>
      <c r="E284" s="122"/>
      <c r="F284" s="122"/>
      <c r="G284" s="123"/>
      <c r="H284" s="122"/>
      <c r="I284" s="17"/>
      <c r="J284" s="19"/>
      <c r="K284" s="82" t="s">
        <v>1137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22"/>
      <c r="B285" s="122"/>
      <c r="C285" s="122"/>
      <c r="D285" s="122"/>
      <c r="E285" s="122"/>
      <c r="F285" s="122"/>
      <c r="G285" s="123"/>
      <c r="H285" s="122"/>
      <c r="I285" s="17"/>
      <c r="J285" s="19"/>
      <c r="K285" s="82" t="s">
        <v>1140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22"/>
      <c r="B286" s="122"/>
      <c r="C286" s="122"/>
      <c r="D286" s="122"/>
      <c r="E286" s="122"/>
      <c r="F286" s="122"/>
      <c r="G286" s="123"/>
      <c r="H286" s="122"/>
      <c r="I286" s="17"/>
      <c r="J286" s="19"/>
      <c r="K286" s="82" t="s">
        <v>1145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22"/>
      <c r="B287" s="122"/>
      <c r="C287" s="122"/>
      <c r="D287" s="122"/>
      <c r="E287" s="122"/>
      <c r="F287" s="122"/>
      <c r="G287" s="123"/>
      <c r="H287" s="122"/>
      <c r="I287" s="17"/>
      <c r="J287" s="19"/>
      <c r="K287" s="82" t="s">
        <v>1148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22"/>
      <c r="B288" s="122"/>
      <c r="C288" s="122"/>
      <c r="D288" s="122"/>
      <c r="E288" s="122"/>
      <c r="F288" s="122"/>
      <c r="G288" s="123"/>
      <c r="H288" s="122"/>
      <c r="I288" s="17"/>
      <c r="J288" s="19"/>
      <c r="K288" s="82" t="s">
        <v>1150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22"/>
      <c r="B289" s="122"/>
      <c r="C289" s="122"/>
      <c r="D289" s="122"/>
      <c r="E289" s="122"/>
      <c r="F289" s="122"/>
      <c r="G289" s="123"/>
      <c r="H289" s="122"/>
      <c r="I289" s="17"/>
      <c r="J289" s="19"/>
      <c r="K289" s="82" t="s">
        <v>1152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22"/>
      <c r="B290" s="122"/>
      <c r="C290" s="122"/>
      <c r="D290" s="122"/>
      <c r="E290" s="122"/>
      <c r="F290" s="122"/>
      <c r="G290" s="123"/>
      <c r="H290" s="122"/>
      <c r="I290" s="17"/>
      <c r="J290" s="19"/>
      <c r="K290" s="82" t="s">
        <v>1155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22"/>
      <c r="B291" s="122"/>
      <c r="C291" s="122"/>
      <c r="D291" s="122"/>
      <c r="E291" s="122"/>
      <c r="F291" s="122"/>
      <c r="G291" s="123"/>
      <c r="H291" s="122"/>
      <c r="I291" s="17"/>
      <c r="J291" s="19"/>
      <c r="K291" s="82" t="s">
        <v>1158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22"/>
      <c r="B292" s="122"/>
      <c r="C292" s="122"/>
      <c r="D292" s="122"/>
      <c r="E292" s="122"/>
      <c r="F292" s="122"/>
      <c r="G292" s="123"/>
      <c r="H292" s="122"/>
      <c r="I292" s="17"/>
      <c r="J292" s="19"/>
      <c r="K292" s="82" t="s">
        <v>1161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22"/>
      <c r="B293" s="122"/>
      <c r="C293" s="122"/>
      <c r="D293" s="122"/>
      <c r="E293" s="122"/>
      <c r="F293" s="122"/>
      <c r="G293" s="123"/>
      <c r="H293" s="122"/>
      <c r="I293" s="17"/>
      <c r="J293" s="19"/>
      <c r="K293" s="82" t="s">
        <v>1164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22"/>
      <c r="B294" s="122"/>
      <c r="C294" s="122"/>
      <c r="D294" s="122"/>
      <c r="E294" s="122"/>
      <c r="F294" s="122"/>
      <c r="G294" s="123"/>
      <c r="H294" s="122"/>
      <c r="I294" s="17"/>
      <c r="J294" s="19"/>
      <c r="K294" s="82" t="s">
        <v>1165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22"/>
      <c r="B295" s="122"/>
      <c r="C295" s="122"/>
      <c r="D295" s="122"/>
      <c r="E295" s="122"/>
      <c r="F295" s="122"/>
      <c r="G295" s="123"/>
      <c r="H295" s="122"/>
      <c r="I295" s="17"/>
      <c r="J295" s="19"/>
      <c r="K295" s="82" t="s">
        <v>1168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22"/>
      <c r="B296" s="122"/>
      <c r="C296" s="122"/>
      <c r="D296" s="122"/>
      <c r="E296" s="122"/>
      <c r="F296" s="122"/>
      <c r="G296" s="123"/>
      <c r="H296" s="122"/>
      <c r="I296" s="17"/>
      <c r="J296" s="19"/>
      <c r="K296" s="82" t="s">
        <v>1171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22"/>
      <c r="B297" s="122"/>
      <c r="C297" s="122"/>
      <c r="D297" s="122"/>
      <c r="E297" s="122"/>
      <c r="F297" s="122"/>
      <c r="G297" s="123"/>
      <c r="H297" s="122"/>
      <c r="I297" s="17"/>
      <c r="J297" s="19"/>
      <c r="K297" s="82" t="s">
        <v>1172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22"/>
      <c r="B298" s="122"/>
      <c r="C298" s="122"/>
      <c r="D298" s="122"/>
      <c r="E298" s="122"/>
      <c r="F298" s="122"/>
      <c r="G298" s="123"/>
      <c r="H298" s="122"/>
      <c r="I298" s="17"/>
      <c r="J298" s="19"/>
      <c r="K298" s="82" t="s">
        <v>1175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22"/>
      <c r="B299" s="122"/>
      <c r="C299" s="122"/>
      <c r="D299" s="122"/>
      <c r="E299" s="122"/>
      <c r="F299" s="122"/>
      <c r="G299" s="123"/>
      <c r="H299" s="122"/>
      <c r="I299" s="17"/>
      <c r="J299" s="19"/>
      <c r="K299" s="82" t="s">
        <v>1177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22"/>
      <c r="B300" s="122"/>
      <c r="C300" s="122"/>
      <c r="D300" s="122"/>
      <c r="E300" s="122"/>
      <c r="F300" s="122"/>
      <c r="G300" s="123"/>
      <c r="H300" s="122"/>
      <c r="I300" s="17"/>
      <c r="J300" s="19"/>
      <c r="K300" s="82" t="s">
        <v>1179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22"/>
      <c r="B301" s="122"/>
      <c r="C301" s="122"/>
      <c r="D301" s="122"/>
      <c r="E301" s="122"/>
      <c r="F301" s="122"/>
      <c r="G301" s="123"/>
      <c r="H301" s="122"/>
      <c r="I301" s="17"/>
      <c r="J301" s="19"/>
      <c r="K301" s="82" t="s">
        <v>1182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22"/>
      <c r="B302" s="122"/>
      <c r="C302" s="122"/>
      <c r="D302" s="122"/>
      <c r="E302" s="122"/>
      <c r="F302" s="122"/>
      <c r="G302" s="123"/>
      <c r="H302" s="122"/>
      <c r="I302" s="17"/>
      <c r="J302" s="19"/>
      <c r="K302" s="82" t="s">
        <v>1184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22"/>
      <c r="B303" s="122"/>
      <c r="C303" s="122"/>
      <c r="D303" s="122"/>
      <c r="E303" s="122"/>
      <c r="F303" s="122"/>
      <c r="G303" s="123"/>
      <c r="H303" s="122"/>
      <c r="I303" s="17"/>
      <c r="J303" s="19"/>
      <c r="K303" s="82" t="s">
        <v>1186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22"/>
      <c r="B304" s="122"/>
      <c r="C304" s="122"/>
      <c r="D304" s="122"/>
      <c r="E304" s="122"/>
      <c r="F304" s="122"/>
      <c r="G304" s="123"/>
      <c r="H304" s="122"/>
      <c r="I304" s="17"/>
      <c r="J304" s="19"/>
      <c r="K304" s="82" t="s">
        <v>1189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22"/>
      <c r="B305" s="122"/>
      <c r="C305" s="122"/>
      <c r="D305" s="122"/>
      <c r="E305" s="122"/>
      <c r="F305" s="122"/>
      <c r="G305" s="123"/>
      <c r="H305" s="122"/>
      <c r="I305" s="17"/>
      <c r="J305" s="19"/>
      <c r="K305" s="82" t="s">
        <v>1192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22"/>
      <c r="B306" s="122"/>
      <c r="C306" s="122"/>
      <c r="D306" s="122"/>
      <c r="E306" s="122"/>
      <c r="F306" s="122"/>
      <c r="G306" s="123"/>
      <c r="H306" s="122"/>
      <c r="I306" s="17"/>
      <c r="J306" s="19"/>
      <c r="K306" s="82" t="s">
        <v>1195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22"/>
      <c r="B307" s="122"/>
      <c r="C307" s="122"/>
      <c r="D307" s="122"/>
      <c r="E307" s="122"/>
      <c r="F307" s="122"/>
      <c r="G307" s="123"/>
      <c r="H307" s="122"/>
      <c r="I307" s="17"/>
      <c r="J307" s="19"/>
      <c r="K307" s="82" t="s">
        <v>1196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22"/>
      <c r="B308" s="122"/>
      <c r="C308" s="122"/>
      <c r="D308" s="122"/>
      <c r="E308" s="122"/>
      <c r="F308" s="122"/>
      <c r="G308" s="123"/>
      <c r="H308" s="122"/>
      <c r="I308" s="17"/>
      <c r="J308" s="19"/>
      <c r="K308" s="82" t="s">
        <v>1199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22"/>
      <c r="B309" s="122"/>
      <c r="C309" s="122"/>
      <c r="D309" s="122"/>
      <c r="E309" s="122"/>
      <c r="F309" s="122"/>
      <c r="G309" s="123"/>
      <c r="H309" s="122"/>
      <c r="I309" s="17"/>
      <c r="J309" s="19"/>
      <c r="K309" s="82" t="s">
        <v>1200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22"/>
      <c r="B310" s="122"/>
      <c r="C310" s="122"/>
      <c r="D310" s="122"/>
      <c r="E310" s="122"/>
      <c r="F310" s="122"/>
      <c r="G310" s="123"/>
      <c r="H310" s="122"/>
      <c r="I310" s="17"/>
      <c r="J310" s="19"/>
      <c r="K310" s="82" t="s">
        <v>1201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22"/>
      <c r="B311" s="122"/>
      <c r="C311" s="122"/>
      <c r="D311" s="122"/>
      <c r="E311" s="122"/>
      <c r="F311" s="122"/>
      <c r="G311" s="123"/>
      <c r="H311" s="122"/>
      <c r="I311" s="17"/>
      <c r="J311" s="19"/>
      <c r="K311" s="82" t="s">
        <v>1204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22"/>
      <c r="B312" s="122"/>
      <c r="C312" s="122"/>
      <c r="D312" s="122"/>
      <c r="E312" s="122"/>
      <c r="F312" s="122"/>
      <c r="G312" s="123"/>
      <c r="H312" s="122"/>
      <c r="I312" s="17"/>
      <c r="J312" s="19"/>
      <c r="K312" s="82" t="s">
        <v>1207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22"/>
      <c r="B313" s="122"/>
      <c r="C313" s="122"/>
      <c r="D313" s="122"/>
      <c r="E313" s="122"/>
      <c r="F313" s="122"/>
      <c r="G313" s="123"/>
      <c r="H313" s="122"/>
      <c r="I313" s="17"/>
      <c r="J313" s="19"/>
      <c r="K313" s="82" t="s">
        <v>1210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22"/>
      <c r="B314" s="122"/>
      <c r="C314" s="122"/>
      <c r="D314" s="122"/>
      <c r="E314" s="122"/>
      <c r="F314" s="122"/>
      <c r="G314" s="123"/>
      <c r="H314" s="122"/>
      <c r="I314" s="17"/>
      <c r="J314" s="19"/>
      <c r="K314" s="82" t="s">
        <v>1211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22"/>
      <c r="B315" s="122"/>
      <c r="C315" s="122"/>
      <c r="D315" s="122"/>
      <c r="E315" s="122"/>
      <c r="F315" s="122"/>
      <c r="G315" s="123"/>
      <c r="H315" s="122"/>
      <c r="I315" s="17"/>
      <c r="J315" s="19"/>
      <c r="K315" s="82" t="s">
        <v>1214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22"/>
      <c r="B316" s="122"/>
      <c r="C316" s="122"/>
      <c r="D316" s="122"/>
      <c r="E316" s="122"/>
      <c r="F316" s="122"/>
      <c r="G316" s="123"/>
      <c r="H316" s="122"/>
      <c r="I316" s="17"/>
      <c r="J316" s="19"/>
      <c r="K316" s="82" t="s">
        <v>1217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22"/>
      <c r="B317" s="122"/>
      <c r="C317" s="122"/>
      <c r="D317" s="122"/>
      <c r="E317" s="122"/>
      <c r="F317" s="122"/>
      <c r="G317" s="123"/>
      <c r="H317" s="122"/>
      <c r="I317" s="17"/>
      <c r="J317" s="19"/>
      <c r="K317" s="82" t="s">
        <v>1220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22"/>
      <c r="B318" s="122"/>
      <c r="C318" s="122"/>
      <c r="D318" s="122"/>
      <c r="E318" s="122"/>
      <c r="F318" s="122"/>
      <c r="G318" s="123"/>
      <c r="H318" s="122"/>
      <c r="I318" s="17"/>
      <c r="J318" s="19"/>
      <c r="K318" s="82" t="s">
        <v>1223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22"/>
      <c r="B319" s="122"/>
      <c r="C319" s="122"/>
      <c r="D319" s="122"/>
      <c r="E319" s="122"/>
      <c r="F319" s="122"/>
      <c r="G319" s="123"/>
      <c r="H319" s="122"/>
      <c r="I319" s="17"/>
      <c r="J319" s="19"/>
      <c r="K319" s="82" t="s">
        <v>1226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22"/>
      <c r="B320" s="122"/>
      <c r="C320" s="122"/>
      <c r="D320" s="122"/>
      <c r="E320" s="122"/>
      <c r="F320" s="122"/>
      <c r="G320" s="123"/>
      <c r="H320" s="122"/>
      <c r="I320" s="17"/>
      <c r="J320" s="19"/>
      <c r="K320" s="82" t="s">
        <v>1229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22"/>
      <c r="B321" s="122"/>
      <c r="C321" s="122"/>
      <c r="D321" s="122"/>
      <c r="E321" s="122"/>
      <c r="F321" s="122"/>
      <c r="G321" s="123"/>
      <c r="H321" s="122"/>
      <c r="I321" s="17"/>
      <c r="J321" s="19"/>
      <c r="K321" s="82" t="s">
        <v>1232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22"/>
      <c r="B322" s="122"/>
      <c r="C322" s="122"/>
      <c r="D322" s="122"/>
      <c r="E322" s="122"/>
      <c r="F322" s="122"/>
      <c r="G322" s="123"/>
      <c r="H322" s="122"/>
      <c r="I322" s="17"/>
      <c r="J322" s="19"/>
      <c r="K322" s="82" t="s">
        <v>1233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22"/>
      <c r="B323" s="122"/>
      <c r="C323" s="122"/>
      <c r="D323" s="122"/>
      <c r="E323" s="122"/>
      <c r="F323" s="122"/>
      <c r="G323" s="123"/>
      <c r="H323" s="122"/>
      <c r="I323" s="17"/>
      <c r="J323" s="19"/>
      <c r="K323" s="82" t="s">
        <v>1236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22"/>
      <c r="B324" s="122"/>
      <c r="C324" s="122"/>
      <c r="D324" s="122"/>
      <c r="E324" s="122"/>
      <c r="F324" s="122"/>
      <c r="G324" s="123"/>
      <c r="H324" s="122"/>
      <c r="I324" s="17"/>
      <c r="J324" s="19"/>
      <c r="K324" s="82" t="s">
        <v>1240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22"/>
      <c r="B325" s="122"/>
      <c r="C325" s="122"/>
      <c r="D325" s="122"/>
      <c r="E325" s="122"/>
      <c r="F325" s="122"/>
      <c r="G325" s="123"/>
      <c r="H325" s="122"/>
      <c r="I325" s="17"/>
      <c r="J325" s="19"/>
      <c r="K325" s="82" t="s">
        <v>1243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22"/>
      <c r="B326" s="122"/>
      <c r="C326" s="122"/>
      <c r="D326" s="122"/>
      <c r="E326" s="122"/>
      <c r="F326" s="122"/>
      <c r="G326" s="123"/>
      <c r="H326" s="122"/>
      <c r="I326" s="17"/>
      <c r="J326" s="19"/>
      <c r="K326" s="82" t="s">
        <v>1247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22"/>
      <c r="B327" s="122"/>
      <c r="C327" s="122"/>
      <c r="D327" s="122"/>
      <c r="E327" s="122"/>
      <c r="F327" s="122"/>
      <c r="G327" s="123"/>
      <c r="H327" s="122"/>
      <c r="I327" s="17"/>
      <c r="J327" s="19"/>
      <c r="K327" s="82" t="s">
        <v>1250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22"/>
      <c r="B328" s="122"/>
      <c r="C328" s="122"/>
      <c r="D328" s="122"/>
      <c r="E328" s="122"/>
      <c r="F328" s="122"/>
      <c r="G328" s="123"/>
      <c r="H328" s="122"/>
      <c r="I328" s="17"/>
      <c r="J328" s="19"/>
      <c r="K328" s="82" t="s">
        <v>1253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22"/>
      <c r="B329" s="122"/>
      <c r="C329" s="122"/>
      <c r="D329" s="122"/>
      <c r="E329" s="122"/>
      <c r="F329" s="122"/>
      <c r="G329" s="123"/>
      <c r="H329" s="122"/>
      <c r="I329" s="17"/>
      <c r="J329" s="19"/>
      <c r="K329" s="82" t="s">
        <v>1258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22"/>
      <c r="B330" s="122"/>
      <c r="C330" s="122"/>
      <c r="D330" s="122"/>
      <c r="E330" s="122"/>
      <c r="F330" s="122"/>
      <c r="G330" s="123"/>
      <c r="H330" s="122"/>
      <c r="I330" s="17"/>
      <c r="J330" s="19"/>
      <c r="K330" s="82" t="s">
        <v>1261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22"/>
      <c r="B331" s="122"/>
      <c r="C331" s="122"/>
      <c r="D331" s="122"/>
      <c r="E331" s="122"/>
      <c r="F331" s="122"/>
      <c r="G331" s="123"/>
      <c r="H331" s="122"/>
      <c r="I331" s="17"/>
      <c r="J331" s="19"/>
      <c r="K331" s="82" t="s">
        <v>1266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22"/>
      <c r="B332" s="122"/>
      <c r="C332" s="122"/>
      <c r="D332" s="122"/>
      <c r="E332" s="122"/>
      <c r="F332" s="122"/>
      <c r="G332" s="123"/>
      <c r="H332" s="122"/>
      <c r="I332" s="17"/>
      <c r="J332" s="19"/>
      <c r="K332" s="82" t="s">
        <v>1269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22"/>
      <c r="B333" s="122"/>
      <c r="C333" s="122"/>
      <c r="D333" s="122"/>
      <c r="E333" s="122"/>
      <c r="F333" s="122"/>
      <c r="G333" s="123"/>
      <c r="H333" s="122"/>
      <c r="I333" s="17"/>
      <c r="J333" s="19"/>
      <c r="K333" s="82" t="s">
        <v>1272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22"/>
      <c r="B334" s="122"/>
      <c r="C334" s="122"/>
      <c r="D334" s="122"/>
      <c r="E334" s="122"/>
      <c r="F334" s="122"/>
      <c r="G334" s="123"/>
      <c r="H334" s="122"/>
      <c r="I334" s="17"/>
      <c r="J334" s="19"/>
      <c r="K334" s="82" t="s">
        <v>1275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22"/>
      <c r="B335" s="122"/>
      <c r="C335" s="122"/>
      <c r="D335" s="122"/>
      <c r="E335" s="122"/>
      <c r="F335" s="122"/>
      <c r="G335" s="123"/>
      <c r="H335" s="122"/>
      <c r="I335" s="17"/>
      <c r="J335" s="19"/>
      <c r="K335" s="82" t="s">
        <v>1278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22"/>
      <c r="B336" s="122"/>
      <c r="C336" s="122"/>
      <c r="D336" s="122"/>
      <c r="E336" s="122"/>
      <c r="F336" s="122"/>
      <c r="G336" s="123"/>
      <c r="H336" s="122"/>
      <c r="I336" s="17"/>
      <c r="J336" s="19"/>
      <c r="K336" s="82" t="s">
        <v>1283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22"/>
      <c r="B337" s="122"/>
      <c r="C337" s="122"/>
      <c r="D337" s="122"/>
      <c r="E337" s="122"/>
      <c r="F337" s="122"/>
      <c r="G337" s="123"/>
      <c r="H337" s="122"/>
      <c r="I337" s="17"/>
      <c r="J337" s="19"/>
      <c r="K337" s="82" t="s">
        <v>1284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22"/>
      <c r="B338" s="122"/>
      <c r="C338" s="122"/>
      <c r="D338" s="122"/>
      <c r="E338" s="122"/>
      <c r="F338" s="122"/>
      <c r="G338" s="123"/>
      <c r="H338" s="122"/>
      <c r="I338" s="17"/>
      <c r="J338" s="19"/>
      <c r="K338" s="82" t="s">
        <v>1287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22"/>
      <c r="B339" s="122"/>
      <c r="C339" s="122"/>
      <c r="D339" s="122"/>
      <c r="E339" s="122"/>
      <c r="F339" s="122"/>
      <c r="G339" s="123"/>
      <c r="H339" s="122"/>
      <c r="I339" s="17"/>
      <c r="J339" s="19"/>
      <c r="K339" s="82" t="s">
        <v>1290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22"/>
      <c r="B340" s="122"/>
      <c r="C340" s="122"/>
      <c r="D340" s="122"/>
      <c r="E340" s="122"/>
      <c r="F340" s="122"/>
      <c r="G340" s="123"/>
      <c r="H340" s="122"/>
      <c r="I340" s="17"/>
      <c r="J340" s="19"/>
      <c r="K340" s="82" t="s">
        <v>1293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22"/>
      <c r="B341" s="122"/>
      <c r="C341" s="122"/>
      <c r="D341" s="122"/>
      <c r="E341" s="122"/>
      <c r="F341" s="122"/>
      <c r="G341" s="123"/>
      <c r="H341" s="122"/>
      <c r="I341" s="17"/>
      <c r="J341" s="19"/>
      <c r="K341" s="82" t="s">
        <v>1295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22"/>
      <c r="B342" s="122"/>
      <c r="C342" s="122"/>
      <c r="D342" s="122"/>
      <c r="E342" s="122"/>
      <c r="F342" s="122"/>
      <c r="G342" s="123"/>
      <c r="H342" s="122"/>
      <c r="I342" s="17"/>
      <c r="J342" s="19"/>
      <c r="K342" s="82" t="s">
        <v>1299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22"/>
      <c r="B343" s="122"/>
      <c r="C343" s="122"/>
      <c r="D343" s="122"/>
      <c r="E343" s="122"/>
      <c r="F343" s="122"/>
      <c r="G343" s="123"/>
      <c r="H343" s="122"/>
      <c r="I343" s="17"/>
      <c r="J343" s="19"/>
      <c r="K343" s="82" t="s">
        <v>1302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22"/>
      <c r="B344" s="122"/>
      <c r="C344" s="122"/>
      <c r="D344" s="122"/>
      <c r="E344" s="122"/>
      <c r="F344" s="122"/>
      <c r="G344" s="123"/>
      <c r="H344" s="122"/>
      <c r="I344" s="17"/>
      <c r="J344" s="19"/>
      <c r="K344" s="82" t="s">
        <v>1307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22"/>
      <c r="B345" s="122"/>
      <c r="C345" s="122"/>
      <c r="D345" s="122"/>
      <c r="E345" s="122"/>
      <c r="F345" s="122"/>
      <c r="G345" s="123"/>
      <c r="H345" s="122"/>
      <c r="I345" s="17"/>
      <c r="J345" s="19"/>
      <c r="K345" s="82" t="s">
        <v>1310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22"/>
      <c r="B346" s="122"/>
      <c r="C346" s="122"/>
      <c r="D346" s="122"/>
      <c r="E346" s="122"/>
      <c r="F346" s="122"/>
      <c r="G346" s="123"/>
      <c r="H346" s="122"/>
      <c r="I346" s="17"/>
      <c r="J346" s="19"/>
      <c r="K346" s="82" t="s">
        <v>1313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22"/>
      <c r="B347" s="122"/>
      <c r="C347" s="122"/>
      <c r="D347" s="122"/>
      <c r="E347" s="122"/>
      <c r="F347" s="122"/>
      <c r="G347" s="123"/>
      <c r="H347" s="122"/>
      <c r="I347" s="17"/>
      <c r="J347" s="19"/>
      <c r="K347" s="82" t="s">
        <v>1315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22"/>
      <c r="B348" s="122"/>
      <c r="C348" s="122"/>
      <c r="D348" s="122"/>
      <c r="E348" s="122"/>
      <c r="F348" s="122"/>
      <c r="G348" s="123"/>
      <c r="H348" s="122"/>
      <c r="I348" s="17"/>
      <c r="J348" s="19"/>
      <c r="K348" s="82" t="s">
        <v>1317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22"/>
      <c r="B349" s="122"/>
      <c r="C349" s="122"/>
      <c r="D349" s="122"/>
      <c r="E349" s="122"/>
      <c r="F349" s="122"/>
      <c r="G349" s="123"/>
      <c r="H349" s="122"/>
      <c r="I349" s="17"/>
      <c r="J349" s="19"/>
      <c r="K349" s="82" t="s">
        <v>1319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22"/>
      <c r="B350" s="122"/>
      <c r="C350" s="122"/>
      <c r="D350" s="122"/>
      <c r="E350" s="122"/>
      <c r="F350" s="122"/>
      <c r="G350" s="123"/>
      <c r="H350" s="122"/>
      <c r="I350" s="17"/>
      <c r="J350" s="19"/>
      <c r="K350" s="82" t="s">
        <v>1321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22"/>
      <c r="B351" s="122"/>
      <c r="C351" s="122"/>
      <c r="D351" s="122"/>
      <c r="E351" s="122"/>
      <c r="F351" s="122"/>
      <c r="G351" s="123"/>
      <c r="H351" s="122"/>
      <c r="I351" s="17"/>
      <c r="J351" s="19"/>
      <c r="K351" s="82" t="s">
        <v>1322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22"/>
      <c r="B352" s="122"/>
      <c r="C352" s="122"/>
      <c r="D352" s="122"/>
      <c r="E352" s="122"/>
      <c r="F352" s="122"/>
      <c r="G352" s="123"/>
      <c r="H352" s="122"/>
      <c r="I352" s="17"/>
      <c r="J352" s="19"/>
      <c r="K352" s="82" t="s">
        <v>1324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22"/>
      <c r="B353" s="122"/>
      <c r="C353" s="122"/>
      <c r="D353" s="122"/>
      <c r="E353" s="122"/>
      <c r="F353" s="122"/>
      <c r="G353" s="123"/>
      <c r="H353" s="122"/>
      <c r="I353" s="17"/>
      <c r="J353" s="19"/>
      <c r="K353" s="82" t="s">
        <v>1326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22"/>
      <c r="B354" s="122"/>
      <c r="C354" s="122"/>
      <c r="D354" s="122"/>
      <c r="E354" s="122"/>
      <c r="F354" s="122"/>
      <c r="G354" s="123"/>
      <c r="H354" s="122"/>
      <c r="I354" s="17"/>
      <c r="J354" s="19"/>
      <c r="K354" s="82" t="s">
        <v>1328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22"/>
      <c r="B355" s="122"/>
      <c r="C355" s="122"/>
      <c r="D355" s="122"/>
      <c r="E355" s="122"/>
      <c r="F355" s="122"/>
      <c r="G355" s="123"/>
      <c r="H355" s="122"/>
      <c r="I355" s="17"/>
      <c r="J355" s="19"/>
      <c r="K355" s="82" t="s">
        <v>1330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22"/>
      <c r="B356" s="122"/>
      <c r="C356" s="122"/>
      <c r="D356" s="122"/>
      <c r="E356" s="122"/>
      <c r="F356" s="122"/>
      <c r="G356" s="123"/>
      <c r="H356" s="122"/>
      <c r="I356" s="17"/>
      <c r="J356" s="19"/>
      <c r="K356" s="82" t="s">
        <v>1331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22"/>
      <c r="B357" s="122"/>
      <c r="C357" s="122"/>
      <c r="D357" s="122"/>
      <c r="E357" s="122"/>
      <c r="F357" s="122"/>
      <c r="G357" s="123"/>
      <c r="H357" s="122"/>
      <c r="I357" s="17"/>
      <c r="J357" s="19"/>
      <c r="K357" s="82" t="s">
        <v>1333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22"/>
      <c r="B358" s="122"/>
      <c r="C358" s="122"/>
      <c r="D358" s="122"/>
      <c r="E358" s="122"/>
      <c r="F358" s="122"/>
      <c r="G358" s="123"/>
      <c r="H358" s="122"/>
      <c r="I358" s="17"/>
      <c r="J358" s="19"/>
      <c r="K358" s="82" t="s">
        <v>1335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22"/>
      <c r="B359" s="122"/>
      <c r="C359" s="122"/>
      <c r="D359" s="122"/>
      <c r="E359" s="122"/>
      <c r="F359" s="122"/>
      <c r="G359" s="123"/>
      <c r="H359" s="122"/>
      <c r="I359" s="17"/>
      <c r="J359" s="19"/>
      <c r="K359" s="82" t="s">
        <v>1337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22"/>
      <c r="B360" s="122"/>
      <c r="C360" s="122"/>
      <c r="D360" s="122"/>
      <c r="E360" s="122"/>
      <c r="F360" s="122"/>
      <c r="G360" s="123"/>
      <c r="H360" s="122"/>
      <c r="I360" s="17"/>
      <c r="J360" s="19"/>
      <c r="K360" s="82" t="s">
        <v>1339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22"/>
      <c r="B361" s="122"/>
      <c r="C361" s="122"/>
      <c r="D361" s="122"/>
      <c r="E361" s="122"/>
      <c r="F361" s="122"/>
      <c r="G361" s="123"/>
      <c r="H361" s="122"/>
      <c r="I361" s="17"/>
      <c r="J361" s="19"/>
      <c r="K361" s="82" t="s">
        <v>1341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22"/>
      <c r="B362" s="122"/>
      <c r="C362" s="122"/>
      <c r="D362" s="122"/>
      <c r="E362" s="122"/>
      <c r="F362" s="122"/>
      <c r="G362" s="123"/>
      <c r="H362" s="122"/>
      <c r="I362" s="17"/>
      <c r="J362" s="19"/>
      <c r="K362" s="82" t="s">
        <v>1343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22"/>
      <c r="B363" s="122"/>
      <c r="C363" s="122"/>
      <c r="D363" s="122"/>
      <c r="E363" s="122"/>
      <c r="F363" s="122"/>
      <c r="G363" s="123"/>
      <c r="H363" s="122"/>
      <c r="I363" s="17"/>
      <c r="J363" s="19"/>
      <c r="K363" s="82" t="s">
        <v>1344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22"/>
      <c r="B364" s="122"/>
      <c r="C364" s="122"/>
      <c r="D364" s="122"/>
      <c r="E364" s="122"/>
      <c r="F364" s="122"/>
      <c r="G364" s="123"/>
      <c r="H364" s="122"/>
      <c r="I364" s="17"/>
      <c r="J364" s="19"/>
      <c r="K364" s="82" t="s">
        <v>1346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22"/>
      <c r="B365" s="122"/>
      <c r="C365" s="122"/>
      <c r="D365" s="122"/>
      <c r="E365" s="122"/>
      <c r="F365" s="122"/>
      <c r="G365" s="123"/>
      <c r="H365" s="122"/>
      <c r="I365" s="17"/>
      <c r="J365" s="19"/>
      <c r="K365" s="82" t="s">
        <v>1348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22"/>
      <c r="B366" s="122"/>
      <c r="C366" s="122"/>
      <c r="D366" s="122"/>
      <c r="E366" s="122"/>
      <c r="F366" s="122"/>
      <c r="G366" s="123"/>
      <c r="H366" s="122"/>
      <c r="I366" s="17"/>
      <c r="J366" s="19"/>
      <c r="K366" s="82" t="s">
        <v>1349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22"/>
      <c r="B367" s="122"/>
      <c r="C367" s="122"/>
      <c r="D367" s="122"/>
      <c r="E367" s="122"/>
      <c r="F367" s="122"/>
      <c r="G367" s="123"/>
      <c r="H367" s="122"/>
      <c r="I367" s="17"/>
      <c r="J367" s="19"/>
      <c r="K367" s="82" t="s">
        <v>1351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22"/>
      <c r="B368" s="122"/>
      <c r="C368" s="122"/>
      <c r="D368" s="122"/>
      <c r="E368" s="122"/>
      <c r="F368" s="122"/>
      <c r="G368" s="123"/>
      <c r="H368" s="122"/>
      <c r="I368" s="17"/>
      <c r="J368" s="19"/>
      <c r="K368" s="82" t="s">
        <v>1353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22"/>
      <c r="B369" s="122"/>
      <c r="C369" s="122"/>
      <c r="D369" s="122"/>
      <c r="E369" s="122"/>
      <c r="F369" s="122"/>
      <c r="G369" s="123"/>
      <c r="H369" s="122"/>
      <c r="I369" s="17"/>
      <c r="J369" s="19"/>
      <c r="K369" s="82" t="s">
        <v>1356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22"/>
      <c r="B370" s="122"/>
      <c r="C370" s="122"/>
      <c r="D370" s="122"/>
      <c r="E370" s="122"/>
      <c r="F370" s="122"/>
      <c r="G370" s="123"/>
      <c r="H370" s="122"/>
      <c r="I370" s="17"/>
      <c r="J370" s="19"/>
      <c r="K370" s="82" t="s">
        <v>1357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22"/>
      <c r="B371" s="122"/>
      <c r="C371" s="122"/>
      <c r="D371" s="122"/>
      <c r="E371" s="122"/>
      <c r="F371" s="122"/>
      <c r="G371" s="123"/>
      <c r="H371" s="122"/>
      <c r="I371" s="17"/>
      <c r="J371" s="19"/>
      <c r="K371" s="82" t="s">
        <v>1360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22"/>
      <c r="B372" s="122"/>
      <c r="C372" s="122"/>
      <c r="D372" s="122"/>
      <c r="E372" s="122"/>
      <c r="F372" s="122"/>
      <c r="G372" s="123"/>
      <c r="H372" s="122"/>
      <c r="I372" s="17"/>
      <c r="J372" s="19"/>
      <c r="K372" s="82" t="s">
        <v>1363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22"/>
      <c r="B373" s="122"/>
      <c r="C373" s="122"/>
      <c r="D373" s="122"/>
      <c r="E373" s="122"/>
      <c r="F373" s="122"/>
      <c r="G373" s="123"/>
      <c r="H373" s="122"/>
      <c r="I373" s="17"/>
      <c r="J373" s="19"/>
      <c r="K373" s="82" t="s">
        <v>1366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22"/>
      <c r="B374" s="122"/>
      <c r="C374" s="122"/>
      <c r="D374" s="122"/>
      <c r="E374" s="122"/>
      <c r="F374" s="122"/>
      <c r="G374" s="123"/>
      <c r="H374" s="122"/>
      <c r="I374" s="17"/>
      <c r="J374" s="19"/>
      <c r="K374" s="82" t="s">
        <v>1369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22"/>
      <c r="B375" s="122"/>
      <c r="C375" s="122"/>
      <c r="D375" s="122"/>
      <c r="E375" s="122"/>
      <c r="F375" s="122"/>
      <c r="G375" s="123"/>
      <c r="H375" s="122"/>
      <c r="I375" s="17"/>
      <c r="J375" s="19"/>
      <c r="K375" s="82" t="s">
        <v>1370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22"/>
      <c r="B376" s="122"/>
      <c r="C376" s="122"/>
      <c r="D376" s="122"/>
      <c r="E376" s="122"/>
      <c r="F376" s="122"/>
      <c r="G376" s="123"/>
      <c r="H376" s="122"/>
      <c r="I376" s="17"/>
      <c r="J376" s="19"/>
      <c r="K376" s="82" t="s">
        <v>1373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22"/>
      <c r="B377" s="122"/>
      <c r="C377" s="122"/>
      <c r="D377" s="122"/>
      <c r="E377" s="122"/>
      <c r="F377" s="122"/>
      <c r="G377" s="123"/>
      <c r="H377" s="122"/>
      <c r="I377" s="17"/>
      <c r="J377" s="19"/>
      <c r="K377" s="82" t="s">
        <v>1374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22"/>
      <c r="B378" s="122"/>
      <c r="C378" s="122"/>
      <c r="D378" s="122"/>
      <c r="E378" s="122"/>
      <c r="F378" s="122"/>
      <c r="G378" s="123"/>
      <c r="H378" s="122"/>
      <c r="I378" s="17"/>
      <c r="J378" s="19"/>
      <c r="K378" s="82" t="s">
        <v>1377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22"/>
      <c r="B379" s="122"/>
      <c r="C379" s="122"/>
      <c r="D379" s="122"/>
      <c r="E379" s="122"/>
      <c r="F379" s="122"/>
      <c r="G379" s="123"/>
      <c r="H379" s="122"/>
      <c r="I379" s="17"/>
      <c r="J379" s="19"/>
      <c r="K379" s="82" t="s">
        <v>1380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22"/>
      <c r="B380" s="122"/>
      <c r="C380" s="122"/>
      <c r="D380" s="122"/>
      <c r="E380" s="122"/>
      <c r="F380" s="122"/>
      <c r="G380" s="123"/>
      <c r="H380" s="122"/>
      <c r="I380" s="17"/>
      <c r="J380" s="19"/>
      <c r="K380" s="82" t="s">
        <v>1383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22"/>
      <c r="B381" s="122"/>
      <c r="C381" s="122"/>
      <c r="D381" s="122"/>
      <c r="E381" s="122"/>
      <c r="F381" s="122"/>
      <c r="G381" s="123"/>
      <c r="H381" s="122"/>
      <c r="I381" s="17"/>
      <c r="J381" s="19"/>
      <c r="K381" s="82" t="s">
        <v>1386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22"/>
      <c r="B382" s="122"/>
      <c r="C382" s="122"/>
      <c r="D382" s="122"/>
      <c r="E382" s="122"/>
      <c r="F382" s="122"/>
      <c r="G382" s="123"/>
      <c r="H382" s="122"/>
      <c r="I382" s="17"/>
      <c r="J382" s="19"/>
      <c r="K382" s="82" t="s">
        <v>1389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22"/>
      <c r="B383" s="122"/>
      <c r="C383" s="122"/>
      <c r="D383" s="122"/>
      <c r="E383" s="122"/>
      <c r="F383" s="122"/>
      <c r="G383" s="123"/>
      <c r="H383" s="122"/>
      <c r="I383" s="17"/>
      <c r="J383" s="19"/>
      <c r="K383" s="82" t="s">
        <v>1392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22"/>
      <c r="B384" s="122"/>
      <c r="C384" s="122"/>
      <c r="D384" s="122"/>
      <c r="E384" s="122"/>
      <c r="F384" s="122"/>
      <c r="G384" s="123"/>
      <c r="H384" s="122"/>
      <c r="I384" s="17"/>
      <c r="J384" s="19"/>
      <c r="K384" s="82" t="s">
        <v>1395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22"/>
      <c r="B385" s="122"/>
      <c r="C385" s="122"/>
      <c r="D385" s="122"/>
      <c r="E385" s="122"/>
      <c r="F385" s="122"/>
      <c r="G385" s="123"/>
      <c r="H385" s="122"/>
      <c r="I385" s="17"/>
      <c r="J385" s="19"/>
      <c r="K385" s="82" t="s">
        <v>1398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22"/>
      <c r="B386" s="122"/>
      <c r="C386" s="122"/>
      <c r="D386" s="122"/>
      <c r="E386" s="122"/>
      <c r="F386" s="122"/>
      <c r="G386" s="123"/>
      <c r="H386" s="122"/>
      <c r="I386" s="17"/>
      <c r="J386" s="19"/>
      <c r="K386" s="82" t="s">
        <v>1401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22"/>
      <c r="B387" s="122"/>
      <c r="C387" s="122"/>
      <c r="D387" s="122"/>
      <c r="E387" s="122"/>
      <c r="F387" s="122"/>
      <c r="G387" s="123"/>
      <c r="H387" s="122"/>
      <c r="I387" s="17"/>
      <c r="J387" s="19"/>
      <c r="K387" s="82" t="s">
        <v>1404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22"/>
      <c r="B388" s="122"/>
      <c r="C388" s="122"/>
      <c r="D388" s="122"/>
      <c r="E388" s="122"/>
      <c r="F388" s="122"/>
      <c r="G388" s="123"/>
      <c r="H388" s="122"/>
      <c r="I388" s="17"/>
      <c r="J388" s="19"/>
      <c r="K388" s="82" t="s">
        <v>1407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22"/>
      <c r="B389" s="122"/>
      <c r="C389" s="122"/>
      <c r="D389" s="122"/>
      <c r="E389" s="122"/>
      <c r="F389" s="122"/>
      <c r="G389" s="123"/>
      <c r="H389" s="122"/>
      <c r="I389" s="17"/>
      <c r="J389" s="19"/>
      <c r="K389" s="82" t="s">
        <v>1410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22"/>
      <c r="B390" s="122"/>
      <c r="C390" s="122"/>
      <c r="D390" s="122"/>
      <c r="E390" s="122"/>
      <c r="F390" s="122"/>
      <c r="G390" s="123"/>
      <c r="H390" s="122"/>
      <c r="I390" s="17"/>
      <c r="J390" s="19"/>
      <c r="K390" s="82" t="s">
        <v>1411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22"/>
      <c r="B391" s="122"/>
      <c r="C391" s="122"/>
      <c r="D391" s="122"/>
      <c r="E391" s="122"/>
      <c r="F391" s="122"/>
      <c r="G391" s="123"/>
      <c r="H391" s="122"/>
      <c r="I391" s="17"/>
      <c r="J391" s="19"/>
      <c r="K391" s="82" t="s">
        <v>1412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22"/>
      <c r="B392" s="122"/>
      <c r="C392" s="122"/>
      <c r="D392" s="122"/>
      <c r="E392" s="122"/>
      <c r="F392" s="122"/>
      <c r="G392" s="123"/>
      <c r="H392" s="122"/>
      <c r="I392" s="17"/>
      <c r="J392" s="19"/>
      <c r="K392" s="82" t="s">
        <v>1413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22"/>
      <c r="B393" s="122"/>
      <c r="C393" s="122"/>
      <c r="D393" s="122"/>
      <c r="E393" s="122"/>
      <c r="F393" s="122"/>
      <c r="G393" s="123"/>
      <c r="H393" s="122"/>
      <c r="I393" s="17"/>
      <c r="J393" s="19"/>
      <c r="K393" s="82" t="s">
        <v>1414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22"/>
      <c r="B394" s="122"/>
      <c r="C394" s="122"/>
      <c r="D394" s="122"/>
      <c r="E394" s="122"/>
      <c r="F394" s="122"/>
      <c r="G394" s="123"/>
      <c r="H394" s="122"/>
      <c r="I394" s="17"/>
      <c r="J394" s="19"/>
      <c r="K394" s="82" t="s">
        <v>1415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22"/>
      <c r="B395" s="122"/>
      <c r="C395" s="122"/>
      <c r="D395" s="122"/>
      <c r="E395" s="122"/>
      <c r="F395" s="122"/>
      <c r="G395" s="123"/>
      <c r="H395" s="122"/>
      <c r="I395" s="17"/>
      <c r="J395" s="19"/>
      <c r="K395" s="82" t="s">
        <v>1420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22"/>
      <c r="B396" s="122"/>
      <c r="C396" s="122"/>
      <c r="D396" s="122"/>
      <c r="E396" s="122"/>
      <c r="F396" s="122"/>
      <c r="G396" s="123"/>
      <c r="H396" s="122"/>
      <c r="I396" s="17"/>
      <c r="J396" s="19"/>
      <c r="K396" s="82" t="s">
        <v>1423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22"/>
      <c r="B397" s="122"/>
      <c r="C397" s="122"/>
      <c r="D397" s="122"/>
      <c r="E397" s="122"/>
      <c r="F397" s="122"/>
      <c r="G397" s="123"/>
      <c r="H397" s="122"/>
      <c r="I397" s="17"/>
      <c r="J397" s="19"/>
      <c r="K397" s="82" t="s">
        <v>1426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22"/>
      <c r="B398" s="122"/>
      <c r="C398" s="122"/>
      <c r="D398" s="122"/>
      <c r="E398" s="122"/>
      <c r="F398" s="122"/>
      <c r="G398" s="123"/>
      <c r="H398" s="122"/>
      <c r="I398" s="17"/>
      <c r="J398" s="19"/>
      <c r="K398" s="82" t="s">
        <v>1429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22"/>
      <c r="B399" s="122"/>
      <c r="C399" s="122"/>
      <c r="D399" s="122"/>
      <c r="E399" s="122"/>
      <c r="F399" s="122"/>
      <c r="G399" s="123"/>
      <c r="H399" s="122"/>
      <c r="I399" s="17"/>
      <c r="J399" s="19"/>
      <c r="K399" s="82" t="s">
        <v>1432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22"/>
      <c r="B400" s="122"/>
      <c r="C400" s="122"/>
      <c r="D400" s="122"/>
      <c r="E400" s="122"/>
      <c r="F400" s="122"/>
      <c r="G400" s="123"/>
      <c r="H400" s="122"/>
      <c r="I400" s="17"/>
      <c r="J400" s="19"/>
      <c r="K400" s="82" t="s">
        <v>1435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22"/>
      <c r="B401" s="122"/>
      <c r="C401" s="122"/>
      <c r="D401" s="122"/>
      <c r="E401" s="122"/>
      <c r="F401" s="122"/>
      <c r="G401" s="123"/>
      <c r="H401" s="122"/>
      <c r="I401" s="17"/>
      <c r="J401" s="19"/>
      <c r="K401" s="82" t="s">
        <v>1440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22"/>
      <c r="B402" s="122"/>
      <c r="C402" s="122"/>
      <c r="D402" s="122"/>
      <c r="E402" s="122"/>
      <c r="F402" s="122"/>
      <c r="G402" s="123"/>
      <c r="H402" s="122"/>
      <c r="I402" s="17"/>
      <c r="J402" s="19"/>
      <c r="K402" s="82" t="s">
        <v>1445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22"/>
      <c r="B403" s="122"/>
      <c r="C403" s="122"/>
      <c r="D403" s="122"/>
      <c r="E403" s="122"/>
      <c r="F403" s="122"/>
      <c r="G403" s="123"/>
      <c r="H403" s="122"/>
      <c r="I403" s="17"/>
      <c r="J403" s="19"/>
      <c r="K403" s="82" t="s">
        <v>1448</v>
      </c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22"/>
      <c r="B404" s="122"/>
      <c r="C404" s="122"/>
      <c r="D404" s="122"/>
      <c r="E404" s="122"/>
      <c r="F404" s="122"/>
      <c r="G404" s="123"/>
      <c r="H404" s="122"/>
      <c r="I404" s="17"/>
      <c r="J404" s="19"/>
      <c r="K404" s="82" t="s">
        <v>1452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22"/>
      <c r="B405" s="122"/>
      <c r="C405" s="122"/>
      <c r="D405" s="122"/>
      <c r="E405" s="122"/>
      <c r="F405" s="122"/>
      <c r="G405" s="123"/>
      <c r="H405" s="122"/>
      <c r="I405" s="17"/>
      <c r="J405" s="19"/>
      <c r="K405" s="82" t="s">
        <v>1457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22"/>
      <c r="B406" s="122"/>
      <c r="C406" s="122"/>
      <c r="D406" s="122"/>
      <c r="E406" s="122"/>
      <c r="F406" s="122"/>
      <c r="G406" s="123"/>
      <c r="H406" s="122"/>
      <c r="I406" s="17"/>
      <c r="J406" s="19"/>
      <c r="K406" s="82" t="s">
        <v>1460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22"/>
      <c r="B407" s="122"/>
      <c r="C407" s="122"/>
      <c r="D407" s="122"/>
      <c r="E407" s="122"/>
      <c r="F407" s="122"/>
      <c r="G407" s="123"/>
      <c r="H407" s="122"/>
      <c r="I407" s="17"/>
      <c r="J407" s="19"/>
      <c r="K407" s="82" t="s">
        <v>1465</v>
      </c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22"/>
      <c r="B408" s="122"/>
      <c r="C408" s="122"/>
      <c r="D408" s="122"/>
      <c r="E408" s="122"/>
      <c r="F408" s="122"/>
      <c r="G408" s="123"/>
      <c r="H408" s="122"/>
      <c r="I408" s="17"/>
      <c r="J408" s="19"/>
      <c r="K408" s="82" t="s">
        <v>1468</v>
      </c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22"/>
      <c r="B409" s="122"/>
      <c r="C409" s="122"/>
      <c r="D409" s="122"/>
      <c r="E409" s="122"/>
      <c r="F409" s="122"/>
      <c r="G409" s="123"/>
      <c r="H409" s="122"/>
      <c r="I409" s="17"/>
      <c r="J409" s="19"/>
      <c r="K409" s="82" t="s">
        <v>1470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22"/>
      <c r="B410" s="122"/>
      <c r="C410" s="122"/>
      <c r="D410" s="122"/>
      <c r="E410" s="122"/>
      <c r="F410" s="122"/>
      <c r="G410" s="123"/>
      <c r="H410" s="122"/>
      <c r="I410" s="17"/>
      <c r="J410" s="19"/>
      <c r="K410" s="82" t="s">
        <v>1473</v>
      </c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22"/>
      <c r="B411" s="122"/>
      <c r="C411" s="122"/>
      <c r="D411" s="122"/>
      <c r="E411" s="122"/>
      <c r="F411" s="122"/>
      <c r="G411" s="123"/>
      <c r="H411" s="122"/>
      <c r="I411" s="17"/>
      <c r="J411" s="19"/>
      <c r="K411" s="82" t="s">
        <v>1476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22"/>
      <c r="B412" s="122"/>
      <c r="C412" s="122"/>
      <c r="D412" s="122"/>
      <c r="E412" s="122"/>
      <c r="F412" s="122"/>
      <c r="G412" s="123"/>
      <c r="H412" s="122"/>
      <c r="I412" s="17"/>
      <c r="J412" s="19"/>
      <c r="K412" s="82" t="s">
        <v>1479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22"/>
      <c r="B413" s="122"/>
      <c r="C413" s="122"/>
      <c r="D413" s="122"/>
      <c r="E413" s="122"/>
      <c r="F413" s="122"/>
      <c r="G413" s="123"/>
      <c r="H413" s="122"/>
      <c r="I413" s="17"/>
      <c r="J413" s="19"/>
      <c r="K413" s="82" t="s">
        <v>1482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22"/>
      <c r="B414" s="122"/>
      <c r="C414" s="122"/>
      <c r="D414" s="122"/>
      <c r="E414" s="122"/>
      <c r="F414" s="122"/>
      <c r="G414" s="123"/>
      <c r="H414" s="122"/>
      <c r="I414" s="17"/>
      <c r="J414" s="19"/>
      <c r="K414" s="82" t="s">
        <v>1483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22"/>
      <c r="B415" s="122"/>
      <c r="C415" s="122"/>
      <c r="D415" s="122"/>
      <c r="E415" s="122"/>
      <c r="F415" s="122"/>
      <c r="G415" s="123"/>
      <c r="H415" s="122"/>
      <c r="I415" s="17"/>
      <c r="J415" s="19"/>
      <c r="K415" s="82" t="s">
        <v>1484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22"/>
      <c r="B416" s="122"/>
      <c r="C416" s="122"/>
      <c r="D416" s="122"/>
      <c r="E416" s="122"/>
      <c r="F416" s="122"/>
      <c r="G416" s="123"/>
      <c r="H416" s="122"/>
      <c r="I416" s="17"/>
      <c r="J416" s="19"/>
      <c r="K416" s="82" t="s">
        <v>1485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22"/>
      <c r="B417" s="122"/>
      <c r="C417" s="122"/>
      <c r="D417" s="122"/>
      <c r="E417" s="122"/>
      <c r="F417" s="122"/>
      <c r="G417" s="123"/>
      <c r="H417" s="122"/>
      <c r="I417" s="17"/>
      <c r="J417" s="19"/>
      <c r="K417" s="82" t="s">
        <v>1486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22"/>
      <c r="B418" s="122"/>
      <c r="C418" s="122"/>
      <c r="D418" s="122"/>
      <c r="E418" s="122"/>
      <c r="F418" s="122"/>
      <c r="G418" s="123"/>
      <c r="H418" s="122"/>
      <c r="I418" s="17"/>
      <c r="J418" s="19"/>
      <c r="K418" s="82" t="s">
        <v>1487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22"/>
      <c r="B419" s="122"/>
      <c r="C419" s="122"/>
      <c r="D419" s="122"/>
      <c r="E419" s="122"/>
      <c r="F419" s="122"/>
      <c r="G419" s="123"/>
      <c r="H419" s="122"/>
      <c r="I419" s="17"/>
      <c r="J419" s="19"/>
      <c r="K419" s="82" t="s">
        <v>1488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22"/>
      <c r="B420" s="122"/>
      <c r="C420" s="122"/>
      <c r="D420" s="122"/>
      <c r="E420" s="122"/>
      <c r="F420" s="122"/>
      <c r="G420" s="123"/>
      <c r="H420" s="122"/>
      <c r="I420" s="17"/>
      <c r="J420" s="19"/>
      <c r="K420" s="82" t="s">
        <v>1489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22"/>
      <c r="B421" s="122"/>
      <c r="C421" s="122"/>
      <c r="D421" s="122"/>
      <c r="E421" s="122"/>
      <c r="F421" s="122"/>
      <c r="G421" s="123"/>
      <c r="H421" s="122"/>
      <c r="I421" s="17"/>
      <c r="J421" s="19"/>
      <c r="K421" s="82" t="s">
        <v>1490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22"/>
      <c r="B422" s="122"/>
      <c r="C422" s="122"/>
      <c r="D422" s="122"/>
      <c r="E422" s="122"/>
      <c r="F422" s="122"/>
      <c r="G422" s="123"/>
      <c r="H422" s="122"/>
      <c r="I422" s="17"/>
      <c r="J422" s="19"/>
      <c r="K422" s="82" t="s">
        <v>1493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22"/>
      <c r="B423" s="122"/>
      <c r="C423" s="122"/>
      <c r="D423" s="122"/>
      <c r="E423" s="122"/>
      <c r="F423" s="122"/>
      <c r="G423" s="123"/>
      <c r="H423" s="122"/>
      <c r="I423" s="17"/>
      <c r="J423" s="19"/>
      <c r="K423" s="82" t="s">
        <v>1495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22"/>
      <c r="B424" s="122"/>
      <c r="C424" s="122"/>
      <c r="D424" s="122"/>
      <c r="E424" s="122"/>
      <c r="F424" s="122"/>
      <c r="G424" s="123"/>
      <c r="H424" s="122"/>
      <c r="I424" s="17"/>
      <c r="J424" s="19"/>
      <c r="K424" s="82" t="s">
        <v>1496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22"/>
      <c r="B425" s="122"/>
      <c r="C425" s="122"/>
      <c r="D425" s="122"/>
      <c r="E425" s="122"/>
      <c r="F425" s="122"/>
      <c r="G425" s="123"/>
      <c r="H425" s="122"/>
      <c r="I425" s="17"/>
      <c r="J425" s="19"/>
      <c r="K425" s="82" t="s">
        <v>1497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22"/>
      <c r="B426" s="122"/>
      <c r="C426" s="122"/>
      <c r="D426" s="122"/>
      <c r="E426" s="122"/>
      <c r="F426" s="122"/>
      <c r="G426" s="123"/>
      <c r="H426" s="122"/>
      <c r="I426" s="17"/>
      <c r="J426" s="19"/>
      <c r="K426" s="82" t="s">
        <v>1498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22"/>
      <c r="B427" s="122"/>
      <c r="C427" s="122"/>
      <c r="D427" s="122"/>
      <c r="E427" s="122"/>
      <c r="F427" s="122"/>
      <c r="G427" s="123"/>
      <c r="H427" s="122"/>
      <c r="I427" s="17"/>
      <c r="J427" s="19"/>
      <c r="K427" s="82" t="s">
        <v>1499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22"/>
      <c r="B428" s="122"/>
      <c r="C428" s="122"/>
      <c r="D428" s="122"/>
      <c r="E428" s="122"/>
      <c r="F428" s="122"/>
      <c r="G428" s="123"/>
      <c r="H428" s="122"/>
      <c r="I428" s="17"/>
      <c r="J428" s="19"/>
      <c r="K428" s="82" t="s">
        <v>1500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22"/>
      <c r="B429" s="122"/>
      <c r="C429" s="122"/>
      <c r="D429" s="122"/>
      <c r="E429" s="122"/>
      <c r="F429" s="122"/>
      <c r="G429" s="123"/>
      <c r="H429" s="122"/>
      <c r="I429" s="17"/>
      <c r="J429" s="19"/>
      <c r="K429" s="82" t="s">
        <v>1501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22"/>
      <c r="B430" s="122"/>
      <c r="C430" s="122"/>
      <c r="D430" s="122"/>
      <c r="E430" s="122"/>
      <c r="F430" s="122"/>
      <c r="G430" s="123"/>
      <c r="H430" s="122"/>
      <c r="I430" s="17"/>
      <c r="J430" s="19"/>
      <c r="K430" s="82" t="s">
        <v>1502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22"/>
      <c r="B431" s="122"/>
      <c r="C431" s="122"/>
      <c r="D431" s="122"/>
      <c r="E431" s="122"/>
      <c r="F431" s="122"/>
      <c r="G431" s="123"/>
      <c r="H431" s="122"/>
      <c r="I431" s="17"/>
      <c r="J431" s="19"/>
      <c r="K431" s="82" t="s">
        <v>1503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22"/>
      <c r="B432" s="122"/>
      <c r="C432" s="122"/>
      <c r="D432" s="122"/>
      <c r="E432" s="122"/>
      <c r="F432" s="122"/>
      <c r="G432" s="123"/>
      <c r="H432" s="122"/>
      <c r="I432" s="17"/>
      <c r="J432" s="19"/>
      <c r="K432" s="82" t="s">
        <v>1507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22"/>
      <c r="B433" s="122"/>
      <c r="C433" s="122"/>
      <c r="D433" s="122"/>
      <c r="E433" s="122"/>
      <c r="F433" s="122"/>
      <c r="G433" s="123"/>
      <c r="H433" s="122"/>
      <c r="I433" s="17"/>
      <c r="J433" s="19"/>
      <c r="K433" s="82" t="s">
        <v>1509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22"/>
      <c r="B434" s="122"/>
      <c r="C434" s="122"/>
      <c r="D434" s="122"/>
      <c r="E434" s="122"/>
      <c r="F434" s="122"/>
      <c r="G434" s="123"/>
      <c r="H434" s="122"/>
      <c r="I434" s="17"/>
      <c r="J434" s="19"/>
      <c r="K434" s="82" t="s">
        <v>1512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22"/>
      <c r="B435" s="122"/>
      <c r="C435" s="122"/>
      <c r="D435" s="122"/>
      <c r="E435" s="122"/>
      <c r="F435" s="122"/>
      <c r="G435" s="123"/>
      <c r="H435" s="122"/>
      <c r="I435" s="17"/>
      <c r="J435" s="19"/>
      <c r="K435" s="82" t="s">
        <v>1515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22"/>
      <c r="B436" s="122"/>
      <c r="C436" s="122"/>
      <c r="D436" s="122"/>
      <c r="E436" s="122"/>
      <c r="F436" s="122"/>
      <c r="G436" s="123"/>
      <c r="H436" s="122"/>
      <c r="I436" s="17"/>
      <c r="J436" s="19"/>
      <c r="K436" s="82" t="s">
        <v>1518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22"/>
      <c r="B437" s="122"/>
      <c r="C437" s="122"/>
      <c r="D437" s="122"/>
      <c r="E437" s="122"/>
      <c r="F437" s="122"/>
      <c r="G437" s="123"/>
      <c r="H437" s="122"/>
      <c r="I437" s="17"/>
      <c r="J437" s="19"/>
      <c r="K437" s="82" t="s">
        <v>1521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22"/>
      <c r="B438" s="122"/>
      <c r="C438" s="122"/>
      <c r="D438" s="122"/>
      <c r="E438" s="122"/>
      <c r="F438" s="122"/>
      <c r="G438" s="123"/>
      <c r="H438" s="122"/>
      <c r="I438" s="17"/>
      <c r="J438" s="19"/>
      <c r="K438" s="82" t="s">
        <v>1524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22"/>
      <c r="B439" s="122"/>
      <c r="C439" s="122"/>
      <c r="D439" s="122"/>
      <c r="E439" s="122"/>
      <c r="F439" s="122"/>
      <c r="G439" s="123"/>
      <c r="H439" s="122"/>
      <c r="I439" s="17"/>
      <c r="J439" s="19"/>
      <c r="K439" s="82" t="s">
        <v>1525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22"/>
      <c r="B440" s="122"/>
      <c r="C440" s="122"/>
      <c r="D440" s="122"/>
      <c r="E440" s="122"/>
      <c r="F440" s="122"/>
      <c r="G440" s="123"/>
      <c r="H440" s="122"/>
      <c r="I440" s="17"/>
      <c r="J440" s="19"/>
      <c r="K440" s="82" t="s">
        <v>1526</v>
      </c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22"/>
      <c r="B441" s="122"/>
      <c r="C441" s="122"/>
      <c r="D441" s="122"/>
      <c r="E441" s="122"/>
      <c r="F441" s="122"/>
      <c r="G441" s="123"/>
      <c r="H441" s="122"/>
      <c r="I441" s="17"/>
      <c r="J441" s="19"/>
      <c r="K441" s="82" t="s">
        <v>1528</v>
      </c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22"/>
      <c r="B442" s="122"/>
      <c r="C442" s="122"/>
      <c r="D442" s="122"/>
      <c r="E442" s="122"/>
      <c r="F442" s="122"/>
      <c r="G442" s="123"/>
      <c r="H442" s="122"/>
      <c r="I442" s="17"/>
      <c r="J442" s="19"/>
      <c r="K442" s="82" t="s">
        <v>1529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22"/>
      <c r="B443" s="122"/>
      <c r="C443" s="122"/>
      <c r="D443" s="122"/>
      <c r="E443" s="122"/>
      <c r="F443" s="122"/>
      <c r="G443" s="123"/>
      <c r="H443" s="122"/>
      <c r="I443" s="17"/>
      <c r="J443" s="19"/>
      <c r="K443" s="82" t="s">
        <v>1530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22"/>
      <c r="B444" s="122"/>
      <c r="C444" s="122"/>
      <c r="D444" s="122"/>
      <c r="E444" s="122"/>
      <c r="F444" s="122"/>
      <c r="G444" s="123"/>
      <c r="H444" s="122"/>
      <c r="I444" s="17"/>
      <c r="J444" s="19"/>
      <c r="K444" s="82" t="s">
        <v>1531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22"/>
      <c r="B445" s="122"/>
      <c r="C445" s="122"/>
      <c r="D445" s="122"/>
      <c r="E445" s="122"/>
      <c r="F445" s="122"/>
      <c r="G445" s="123"/>
      <c r="H445" s="122"/>
      <c r="I445" s="17"/>
      <c r="J445" s="19"/>
      <c r="K445" s="82" t="s">
        <v>1532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22"/>
      <c r="B446" s="122"/>
      <c r="C446" s="122"/>
      <c r="D446" s="122"/>
      <c r="E446" s="122"/>
      <c r="F446" s="122"/>
      <c r="G446" s="123"/>
      <c r="H446" s="122"/>
      <c r="I446" s="17"/>
      <c r="J446" s="19"/>
      <c r="K446" s="82" t="s">
        <v>1533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22"/>
      <c r="B447" s="122"/>
      <c r="C447" s="122"/>
      <c r="D447" s="122"/>
      <c r="E447" s="122"/>
      <c r="F447" s="122"/>
      <c r="G447" s="123"/>
      <c r="H447" s="122"/>
      <c r="I447" s="17"/>
      <c r="J447" s="19"/>
      <c r="K447" s="82" t="s">
        <v>1534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22"/>
      <c r="B448" s="122"/>
      <c r="C448" s="122"/>
      <c r="D448" s="122"/>
      <c r="E448" s="122"/>
      <c r="F448" s="122"/>
      <c r="G448" s="123"/>
      <c r="H448" s="122"/>
      <c r="I448" s="17"/>
      <c r="J448" s="19"/>
      <c r="K448" s="82" t="s">
        <v>1535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22"/>
      <c r="B449" s="122"/>
      <c r="C449" s="122"/>
      <c r="D449" s="122"/>
      <c r="E449" s="122"/>
      <c r="F449" s="122"/>
      <c r="G449" s="123"/>
      <c r="H449" s="122"/>
      <c r="I449" s="17"/>
      <c r="J449" s="19"/>
      <c r="K449" s="82" t="s">
        <v>1537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22"/>
      <c r="B450" s="122"/>
      <c r="C450" s="122"/>
      <c r="D450" s="122"/>
      <c r="E450" s="122"/>
      <c r="F450" s="122"/>
      <c r="G450" s="123"/>
      <c r="H450" s="122"/>
      <c r="I450" s="17"/>
      <c r="J450" s="19"/>
      <c r="K450" s="82" t="s">
        <v>1539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22"/>
      <c r="B451" s="122"/>
      <c r="C451" s="122"/>
      <c r="D451" s="122"/>
      <c r="E451" s="122"/>
      <c r="F451" s="122"/>
      <c r="G451" s="123"/>
      <c r="H451" s="122"/>
      <c r="I451" s="17"/>
      <c r="J451" s="19"/>
      <c r="K451" s="82" t="s">
        <v>1540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22"/>
      <c r="B452" s="122"/>
      <c r="C452" s="122"/>
      <c r="D452" s="122"/>
      <c r="E452" s="122"/>
      <c r="F452" s="122"/>
      <c r="G452" s="123"/>
      <c r="H452" s="122"/>
      <c r="I452" s="17"/>
      <c r="J452" s="19"/>
      <c r="K452" s="82" t="s">
        <v>1541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22"/>
      <c r="B453" s="122"/>
      <c r="C453" s="122"/>
      <c r="D453" s="122"/>
      <c r="E453" s="122"/>
      <c r="F453" s="122"/>
      <c r="G453" s="123"/>
      <c r="H453" s="122"/>
      <c r="I453" s="17"/>
      <c r="J453" s="19"/>
      <c r="K453" s="82" t="s">
        <v>1542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22"/>
      <c r="B454" s="122"/>
      <c r="C454" s="122"/>
      <c r="D454" s="122"/>
      <c r="E454" s="122"/>
      <c r="F454" s="122"/>
      <c r="G454" s="123"/>
      <c r="H454" s="122"/>
      <c r="I454" s="17"/>
      <c r="J454" s="19"/>
      <c r="K454" s="82" t="s">
        <v>1543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22"/>
      <c r="B455" s="122"/>
      <c r="C455" s="122"/>
      <c r="D455" s="122"/>
      <c r="E455" s="122"/>
      <c r="F455" s="122"/>
      <c r="G455" s="123"/>
      <c r="H455" s="122"/>
      <c r="I455" s="17"/>
      <c r="J455" s="19"/>
      <c r="K455" s="82" t="s">
        <v>1544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22"/>
      <c r="B456" s="122"/>
      <c r="C456" s="122"/>
      <c r="D456" s="122"/>
      <c r="E456" s="122"/>
      <c r="F456" s="122"/>
      <c r="G456" s="123"/>
      <c r="H456" s="122"/>
      <c r="I456" s="17"/>
      <c r="J456" s="19"/>
      <c r="K456" s="82" t="s">
        <v>1546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22"/>
      <c r="B457" s="122"/>
      <c r="C457" s="122"/>
      <c r="D457" s="122"/>
      <c r="E457" s="122"/>
      <c r="F457" s="122"/>
      <c r="G457" s="123"/>
      <c r="H457" s="122"/>
      <c r="I457" s="17"/>
      <c r="J457" s="19"/>
      <c r="K457" s="82" t="s">
        <v>1549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22"/>
      <c r="B458" s="122"/>
      <c r="C458" s="122"/>
      <c r="D458" s="122"/>
      <c r="E458" s="122"/>
      <c r="F458" s="122"/>
      <c r="G458" s="123"/>
      <c r="H458" s="122"/>
      <c r="I458" s="17"/>
      <c r="J458" s="19"/>
      <c r="K458" s="82" t="s">
        <v>1552</v>
      </c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22"/>
      <c r="B459" s="122"/>
      <c r="C459" s="122"/>
      <c r="D459" s="122"/>
      <c r="E459" s="122"/>
      <c r="F459" s="122"/>
      <c r="G459" s="123"/>
      <c r="H459" s="122"/>
      <c r="I459" s="17"/>
      <c r="J459" s="19"/>
      <c r="K459" s="82" t="s">
        <v>1555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22"/>
      <c r="B460" s="122"/>
      <c r="C460" s="122"/>
      <c r="D460" s="122"/>
      <c r="E460" s="122"/>
      <c r="F460" s="122"/>
      <c r="G460" s="123"/>
      <c r="H460" s="122"/>
      <c r="I460" s="17"/>
      <c r="J460" s="19"/>
      <c r="K460" s="82" t="s">
        <v>1560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22"/>
      <c r="B461" s="122"/>
      <c r="C461" s="122"/>
      <c r="D461" s="122"/>
      <c r="E461" s="122"/>
      <c r="F461" s="122"/>
      <c r="G461" s="123"/>
      <c r="H461" s="122"/>
      <c r="I461" s="17"/>
      <c r="J461" s="19"/>
      <c r="K461" s="82" t="s">
        <v>1564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22"/>
      <c r="B462" s="122"/>
      <c r="C462" s="122"/>
      <c r="D462" s="122"/>
      <c r="E462" s="122"/>
      <c r="F462" s="122"/>
      <c r="G462" s="123"/>
      <c r="H462" s="122"/>
      <c r="I462" s="17"/>
      <c r="J462" s="19"/>
      <c r="K462" s="82" t="s">
        <v>1567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22"/>
      <c r="B463" s="122"/>
      <c r="C463" s="122"/>
      <c r="D463" s="122"/>
      <c r="E463" s="122"/>
      <c r="F463" s="122"/>
      <c r="G463" s="123"/>
      <c r="H463" s="122"/>
      <c r="I463" s="17"/>
      <c r="J463" s="19"/>
      <c r="K463" s="82" t="s">
        <v>1568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22"/>
      <c r="B464" s="122"/>
      <c r="C464" s="122"/>
      <c r="D464" s="122"/>
      <c r="E464" s="122"/>
      <c r="F464" s="122"/>
      <c r="G464" s="123"/>
      <c r="H464" s="122"/>
      <c r="I464" s="17"/>
      <c r="J464" s="19"/>
      <c r="K464" s="82" t="s">
        <v>1571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22"/>
      <c r="B465" s="122"/>
      <c r="C465" s="122"/>
      <c r="D465" s="122"/>
      <c r="E465" s="122"/>
      <c r="F465" s="122"/>
      <c r="G465" s="123"/>
      <c r="H465" s="122"/>
      <c r="I465" s="17"/>
      <c r="J465" s="19"/>
      <c r="K465" s="82" t="s">
        <v>1572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22"/>
      <c r="B466" s="122"/>
      <c r="C466" s="122"/>
      <c r="D466" s="122"/>
      <c r="E466" s="122"/>
      <c r="F466" s="122"/>
      <c r="G466" s="123"/>
      <c r="H466" s="122"/>
      <c r="I466" s="17"/>
      <c r="J466" s="19"/>
      <c r="K466" s="82" t="s">
        <v>1575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22"/>
      <c r="B467" s="122"/>
      <c r="C467" s="122"/>
      <c r="D467" s="122"/>
      <c r="E467" s="122"/>
      <c r="F467" s="122"/>
      <c r="G467" s="123"/>
      <c r="H467" s="122"/>
      <c r="I467" s="17"/>
      <c r="J467" s="19"/>
      <c r="K467" s="82" t="s">
        <v>1576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22"/>
      <c r="B468" s="122"/>
      <c r="C468" s="122"/>
      <c r="D468" s="122"/>
      <c r="E468" s="122"/>
      <c r="F468" s="122"/>
      <c r="G468" s="123"/>
      <c r="H468" s="122"/>
      <c r="I468" s="17"/>
      <c r="J468" s="19"/>
      <c r="K468" s="82" t="s">
        <v>1577</v>
      </c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22"/>
      <c r="B469" s="122"/>
      <c r="C469" s="122"/>
      <c r="D469" s="122"/>
      <c r="E469" s="122"/>
      <c r="F469" s="122"/>
      <c r="G469" s="123"/>
      <c r="H469" s="122"/>
      <c r="I469" s="17"/>
      <c r="J469" s="19"/>
      <c r="K469" s="82" t="s">
        <v>1580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22"/>
      <c r="B470" s="122"/>
      <c r="C470" s="122"/>
      <c r="D470" s="122"/>
      <c r="E470" s="122"/>
      <c r="F470" s="122"/>
      <c r="G470" s="123"/>
      <c r="H470" s="122"/>
      <c r="I470" s="17"/>
      <c r="J470" s="19"/>
      <c r="K470" s="82" t="s">
        <v>1581</v>
      </c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22"/>
      <c r="B471" s="122"/>
      <c r="C471" s="122"/>
      <c r="D471" s="122"/>
      <c r="E471" s="122"/>
      <c r="F471" s="122"/>
      <c r="G471" s="123"/>
      <c r="H471" s="122"/>
      <c r="I471" s="17"/>
      <c r="J471" s="19"/>
      <c r="K471" s="82" t="s">
        <v>1584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22"/>
      <c r="B472" s="122"/>
      <c r="C472" s="122"/>
      <c r="D472" s="122"/>
      <c r="E472" s="122"/>
      <c r="F472" s="122"/>
      <c r="G472" s="123"/>
      <c r="H472" s="122"/>
      <c r="I472" s="17"/>
      <c r="J472" s="19"/>
      <c r="K472" s="82" t="s">
        <v>1585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22"/>
      <c r="B473" s="122"/>
      <c r="C473" s="122"/>
      <c r="D473" s="122"/>
      <c r="E473" s="122"/>
      <c r="F473" s="122"/>
      <c r="G473" s="123"/>
      <c r="H473" s="122"/>
      <c r="I473" s="17"/>
      <c r="J473" s="19"/>
      <c r="K473" s="82" t="s">
        <v>1588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22"/>
      <c r="B474" s="122"/>
      <c r="C474" s="122"/>
      <c r="D474" s="122"/>
      <c r="E474" s="122"/>
      <c r="F474" s="122"/>
      <c r="G474" s="123"/>
      <c r="H474" s="122"/>
      <c r="I474" s="17"/>
      <c r="J474" s="19"/>
      <c r="K474" s="82" t="s">
        <v>1591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22"/>
      <c r="B475" s="122"/>
      <c r="C475" s="122"/>
      <c r="D475" s="122"/>
      <c r="E475" s="122"/>
      <c r="F475" s="122"/>
      <c r="G475" s="123"/>
      <c r="H475" s="122"/>
      <c r="I475" s="17"/>
      <c r="J475" s="19"/>
      <c r="K475" s="82" t="s">
        <v>1594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22"/>
      <c r="B476" s="122"/>
      <c r="C476" s="122"/>
      <c r="D476" s="122"/>
      <c r="E476" s="122"/>
      <c r="F476" s="122"/>
      <c r="G476" s="123"/>
      <c r="H476" s="122"/>
      <c r="I476" s="17"/>
      <c r="J476" s="19"/>
      <c r="K476" s="82" t="s">
        <v>1597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22"/>
      <c r="B477" s="122"/>
      <c r="C477" s="122"/>
      <c r="D477" s="122"/>
      <c r="E477" s="122"/>
      <c r="F477" s="122"/>
      <c r="G477" s="123"/>
      <c r="H477" s="122"/>
      <c r="I477" s="17"/>
      <c r="J477" s="19"/>
      <c r="K477" s="82" t="s">
        <v>1599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22"/>
      <c r="B478" s="122"/>
      <c r="C478" s="122"/>
      <c r="D478" s="122"/>
      <c r="E478" s="122"/>
      <c r="F478" s="122"/>
      <c r="G478" s="123"/>
      <c r="H478" s="122"/>
      <c r="I478" s="17"/>
      <c r="J478" s="19"/>
      <c r="K478" s="82" t="s">
        <v>1602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22"/>
      <c r="B479" s="122"/>
      <c r="C479" s="122"/>
      <c r="D479" s="122"/>
      <c r="E479" s="122"/>
      <c r="F479" s="122"/>
      <c r="G479" s="123"/>
      <c r="H479" s="122"/>
      <c r="I479" s="17"/>
      <c r="J479" s="19"/>
      <c r="K479" s="82" t="s">
        <v>1604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22"/>
      <c r="B480" s="122"/>
      <c r="C480" s="122"/>
      <c r="D480" s="122"/>
      <c r="E480" s="122"/>
      <c r="F480" s="122"/>
      <c r="G480" s="123"/>
      <c r="H480" s="122"/>
      <c r="I480" s="17"/>
      <c r="J480" s="19"/>
      <c r="K480" s="82" t="s">
        <v>1609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22"/>
      <c r="B481" s="122"/>
      <c r="C481" s="122"/>
      <c r="D481" s="122"/>
      <c r="E481" s="122"/>
      <c r="F481" s="122"/>
      <c r="G481" s="123"/>
      <c r="H481" s="122"/>
      <c r="I481" s="17"/>
      <c r="J481" s="19"/>
      <c r="K481" s="82" t="s">
        <v>1611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22"/>
      <c r="B482" s="122"/>
      <c r="C482" s="122"/>
      <c r="D482" s="122"/>
      <c r="E482" s="122"/>
      <c r="F482" s="122"/>
      <c r="G482" s="123"/>
      <c r="H482" s="122"/>
      <c r="I482" s="17"/>
      <c r="J482" s="19"/>
      <c r="K482" s="82" t="s">
        <v>1613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22"/>
      <c r="B483" s="122"/>
      <c r="C483" s="122"/>
      <c r="D483" s="122"/>
      <c r="E483" s="122"/>
      <c r="F483" s="122"/>
      <c r="G483" s="123"/>
      <c r="H483" s="122"/>
      <c r="I483" s="17"/>
      <c r="J483" s="19"/>
      <c r="K483" s="82" t="s">
        <v>1616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22"/>
      <c r="B484" s="122"/>
      <c r="C484" s="122"/>
      <c r="D484" s="122"/>
      <c r="E484" s="122"/>
      <c r="F484" s="122"/>
      <c r="G484" s="123"/>
      <c r="H484" s="122"/>
      <c r="I484" s="17"/>
      <c r="J484" s="19"/>
      <c r="K484" s="82" t="s">
        <v>1619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22"/>
      <c r="B485" s="122"/>
      <c r="C485" s="122"/>
      <c r="D485" s="122"/>
      <c r="E485" s="122"/>
      <c r="F485" s="122"/>
      <c r="G485" s="123"/>
      <c r="H485" s="122"/>
      <c r="I485" s="17"/>
      <c r="J485" s="19"/>
      <c r="K485" s="82" t="s">
        <v>1622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22"/>
      <c r="B486" s="122"/>
      <c r="C486" s="122"/>
      <c r="D486" s="122"/>
      <c r="E486" s="122"/>
      <c r="F486" s="122"/>
      <c r="G486" s="123"/>
      <c r="H486" s="122"/>
      <c r="I486" s="17"/>
      <c r="J486" s="19"/>
      <c r="K486" s="82" t="s">
        <v>1625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22"/>
      <c r="B487" s="122"/>
      <c r="C487" s="122"/>
      <c r="D487" s="122"/>
      <c r="E487" s="122"/>
      <c r="F487" s="122"/>
      <c r="G487" s="123"/>
      <c r="H487" s="122"/>
      <c r="I487" s="17"/>
      <c r="J487" s="19"/>
      <c r="K487" s="82" t="s">
        <v>1628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22"/>
      <c r="B488" s="122"/>
      <c r="C488" s="122"/>
      <c r="D488" s="122"/>
      <c r="E488" s="122"/>
      <c r="F488" s="122"/>
      <c r="G488" s="123"/>
      <c r="H488" s="122"/>
      <c r="I488" s="17"/>
      <c r="J488" s="19"/>
      <c r="K488" s="82" t="s">
        <v>1631</v>
      </c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22"/>
      <c r="B489" s="122"/>
      <c r="C489" s="122"/>
      <c r="D489" s="122"/>
      <c r="E489" s="122"/>
      <c r="F489" s="122"/>
      <c r="G489" s="123"/>
      <c r="H489" s="122"/>
      <c r="I489" s="17"/>
      <c r="J489" s="19"/>
      <c r="K489" s="82" t="s">
        <v>1634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22"/>
      <c r="B490" s="122"/>
      <c r="C490" s="122"/>
      <c r="D490" s="122"/>
      <c r="E490" s="122"/>
      <c r="F490" s="122"/>
      <c r="G490" s="123"/>
      <c r="H490" s="122"/>
      <c r="I490" s="17"/>
      <c r="J490" s="19"/>
      <c r="K490" s="82" t="s">
        <v>1636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22"/>
      <c r="B491" s="122"/>
      <c r="C491" s="122"/>
      <c r="D491" s="122"/>
      <c r="E491" s="122"/>
      <c r="F491" s="122"/>
      <c r="G491" s="123"/>
      <c r="H491" s="122"/>
      <c r="I491" s="17"/>
      <c r="J491" s="19"/>
      <c r="K491" s="82" t="s">
        <v>1638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22"/>
      <c r="B492" s="122"/>
      <c r="C492" s="122"/>
      <c r="D492" s="122"/>
      <c r="E492" s="122"/>
      <c r="F492" s="122"/>
      <c r="G492" s="123"/>
      <c r="H492" s="122"/>
      <c r="I492" s="17"/>
      <c r="J492" s="19"/>
      <c r="K492" s="82" t="s">
        <v>1641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22"/>
      <c r="B493" s="122"/>
      <c r="C493" s="122"/>
      <c r="D493" s="122"/>
      <c r="E493" s="122"/>
      <c r="F493" s="122"/>
      <c r="G493" s="123"/>
      <c r="H493" s="122"/>
      <c r="I493" s="17"/>
      <c r="J493" s="19"/>
      <c r="K493" s="82" t="s">
        <v>1642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22"/>
      <c r="B494" s="122"/>
      <c r="C494" s="122"/>
      <c r="D494" s="122"/>
      <c r="E494" s="122"/>
      <c r="F494" s="122"/>
      <c r="G494" s="123"/>
      <c r="H494" s="122"/>
      <c r="I494" s="17"/>
      <c r="J494" s="19"/>
      <c r="K494" s="82" t="s">
        <v>1645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22"/>
      <c r="B495" s="122"/>
      <c r="C495" s="122"/>
      <c r="D495" s="122"/>
      <c r="E495" s="122"/>
      <c r="F495" s="122"/>
      <c r="G495" s="123"/>
      <c r="H495" s="122"/>
      <c r="I495" s="17"/>
      <c r="J495" s="19"/>
      <c r="K495" s="82" t="s">
        <v>1648</v>
      </c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22"/>
      <c r="B496" s="122"/>
      <c r="C496" s="122"/>
      <c r="D496" s="122"/>
      <c r="E496" s="122"/>
      <c r="F496" s="122"/>
      <c r="G496" s="123"/>
      <c r="H496" s="122"/>
      <c r="I496" s="17"/>
      <c r="J496" s="19"/>
      <c r="K496" s="82" t="s">
        <v>1651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22"/>
      <c r="B497" s="122"/>
      <c r="C497" s="122"/>
      <c r="D497" s="122"/>
      <c r="E497" s="122"/>
      <c r="F497" s="122"/>
      <c r="G497" s="123"/>
      <c r="H497" s="122"/>
      <c r="I497" s="17"/>
      <c r="J497" s="19"/>
      <c r="K497" s="82" t="s">
        <v>1654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22"/>
      <c r="B498" s="122"/>
      <c r="C498" s="122"/>
      <c r="D498" s="122"/>
      <c r="E498" s="122"/>
      <c r="F498" s="122"/>
      <c r="G498" s="123"/>
      <c r="H498" s="122"/>
      <c r="I498" s="17"/>
      <c r="J498" s="19"/>
      <c r="K498" s="82" t="s">
        <v>1657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22"/>
      <c r="B499" s="122"/>
      <c r="C499" s="122"/>
      <c r="D499" s="122"/>
      <c r="E499" s="122"/>
      <c r="F499" s="122"/>
      <c r="G499" s="123"/>
      <c r="H499" s="122"/>
      <c r="I499" s="17"/>
      <c r="J499" s="19"/>
      <c r="K499" s="82" t="s">
        <v>1660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22"/>
      <c r="B500" s="122"/>
      <c r="C500" s="122"/>
      <c r="D500" s="122"/>
      <c r="E500" s="122"/>
      <c r="F500" s="122"/>
      <c r="G500" s="123"/>
      <c r="H500" s="122"/>
      <c r="I500" s="17"/>
      <c r="J500" s="19"/>
      <c r="K500" s="82" t="s">
        <v>1663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22"/>
      <c r="B501" s="122"/>
      <c r="C501" s="122"/>
      <c r="D501" s="122"/>
      <c r="E501" s="122"/>
      <c r="F501" s="122"/>
      <c r="G501" s="123"/>
      <c r="H501" s="122"/>
      <c r="I501" s="17"/>
      <c r="J501" s="19"/>
      <c r="K501" s="82" t="s">
        <v>1666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22"/>
      <c r="B502" s="122"/>
      <c r="C502" s="122"/>
      <c r="D502" s="122"/>
      <c r="E502" s="122"/>
      <c r="F502" s="122"/>
      <c r="G502" s="123"/>
      <c r="H502" s="122"/>
      <c r="I502" s="17"/>
      <c r="J502" s="19"/>
      <c r="K502" s="82" t="s">
        <v>1669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22"/>
      <c r="B503" s="122"/>
      <c r="C503" s="122"/>
      <c r="D503" s="122"/>
      <c r="E503" s="122"/>
      <c r="F503" s="122"/>
      <c r="G503" s="123"/>
      <c r="H503" s="122"/>
      <c r="I503" s="17"/>
      <c r="J503" s="19"/>
      <c r="K503" s="82" t="s">
        <v>1674</v>
      </c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22"/>
      <c r="B504" s="122"/>
      <c r="C504" s="122"/>
      <c r="D504" s="122"/>
      <c r="E504" s="122"/>
      <c r="F504" s="122"/>
      <c r="G504" s="123"/>
      <c r="H504" s="122"/>
      <c r="I504" s="17"/>
      <c r="J504" s="19"/>
      <c r="K504" s="82" t="s">
        <v>1677</v>
      </c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22"/>
      <c r="B505" s="122"/>
      <c r="C505" s="122"/>
      <c r="D505" s="122"/>
      <c r="E505" s="122"/>
      <c r="F505" s="122"/>
      <c r="G505" s="123"/>
      <c r="H505" s="122"/>
      <c r="I505" s="17"/>
      <c r="J505" s="19"/>
      <c r="K505" s="82" t="s">
        <v>1680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22"/>
      <c r="B506" s="122"/>
      <c r="C506" s="122"/>
      <c r="D506" s="122"/>
      <c r="E506" s="122"/>
      <c r="F506" s="122"/>
      <c r="G506" s="123"/>
      <c r="H506" s="122"/>
      <c r="I506" s="17"/>
      <c r="J506" s="19"/>
      <c r="K506" s="82" t="s">
        <v>1682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22"/>
      <c r="B507" s="122"/>
      <c r="C507" s="122"/>
      <c r="D507" s="122"/>
      <c r="E507" s="122"/>
      <c r="F507" s="122"/>
      <c r="G507" s="123"/>
      <c r="H507" s="122"/>
      <c r="I507" s="17"/>
      <c r="J507" s="19"/>
      <c r="K507" s="82" t="s">
        <v>1686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22"/>
      <c r="B508" s="122"/>
      <c r="C508" s="122"/>
      <c r="D508" s="122"/>
      <c r="E508" s="122"/>
      <c r="F508" s="122"/>
      <c r="G508" s="123"/>
      <c r="H508" s="122"/>
      <c r="I508" s="17"/>
      <c r="J508" s="19"/>
      <c r="K508" s="82" t="s">
        <v>1689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22"/>
      <c r="B509" s="122"/>
      <c r="C509" s="122"/>
      <c r="D509" s="122"/>
      <c r="E509" s="122"/>
      <c r="F509" s="122"/>
      <c r="G509" s="123"/>
      <c r="H509" s="122"/>
      <c r="I509" s="17"/>
      <c r="J509" s="19"/>
      <c r="K509" s="82" t="s">
        <v>1694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22"/>
      <c r="B510" s="122"/>
      <c r="C510" s="122"/>
      <c r="D510" s="122"/>
      <c r="E510" s="122"/>
      <c r="F510" s="122"/>
      <c r="G510" s="123"/>
      <c r="H510" s="122"/>
      <c r="I510" s="17"/>
      <c r="J510" s="19"/>
      <c r="K510" s="82" t="s">
        <v>1699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22"/>
      <c r="B511" s="122"/>
      <c r="C511" s="122"/>
      <c r="D511" s="122"/>
      <c r="E511" s="122"/>
      <c r="F511" s="122"/>
      <c r="G511" s="123"/>
      <c r="H511" s="122"/>
      <c r="I511" s="17"/>
      <c r="J511" s="19"/>
      <c r="K511" s="82" t="s">
        <v>1703</v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22"/>
      <c r="B512" s="122"/>
      <c r="C512" s="122"/>
      <c r="D512" s="122"/>
      <c r="E512" s="122"/>
      <c r="F512" s="122"/>
      <c r="G512" s="123"/>
      <c r="H512" s="122"/>
      <c r="I512" s="17"/>
      <c r="J512" s="19"/>
      <c r="K512" s="82" t="s">
        <v>1705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22"/>
      <c r="B513" s="122"/>
      <c r="C513" s="122"/>
      <c r="D513" s="122"/>
      <c r="E513" s="122"/>
      <c r="F513" s="122"/>
      <c r="G513" s="123"/>
      <c r="H513" s="122"/>
      <c r="I513" s="17"/>
      <c r="J513" s="19"/>
      <c r="K513" s="82" t="s">
        <v>1708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22"/>
      <c r="B514" s="122"/>
      <c r="C514" s="122"/>
      <c r="D514" s="122"/>
      <c r="E514" s="122"/>
      <c r="F514" s="122"/>
      <c r="G514" s="123"/>
      <c r="H514" s="122"/>
      <c r="I514" s="17"/>
      <c r="J514" s="19"/>
      <c r="K514" s="82" t="s">
        <v>1711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22"/>
      <c r="B515" s="122"/>
      <c r="C515" s="122"/>
      <c r="D515" s="122"/>
      <c r="E515" s="122"/>
      <c r="F515" s="122"/>
      <c r="G515" s="123"/>
      <c r="H515" s="122"/>
      <c r="I515" s="17"/>
      <c r="J515" s="19"/>
      <c r="K515" s="82" t="s">
        <v>1714</v>
      </c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22"/>
      <c r="B516" s="122"/>
      <c r="C516" s="122"/>
      <c r="D516" s="122"/>
      <c r="E516" s="122"/>
      <c r="F516" s="122"/>
      <c r="G516" s="123"/>
      <c r="H516" s="122"/>
      <c r="I516" s="17"/>
      <c r="J516" s="19"/>
      <c r="K516" s="82" t="s">
        <v>1717</v>
      </c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22"/>
      <c r="B517" s="122"/>
      <c r="C517" s="122"/>
      <c r="D517" s="122"/>
      <c r="E517" s="122"/>
      <c r="F517" s="122"/>
      <c r="G517" s="123"/>
      <c r="H517" s="122"/>
      <c r="I517" s="17"/>
      <c r="J517" s="19"/>
      <c r="K517" s="82" t="s">
        <v>1720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22"/>
      <c r="B518" s="122"/>
      <c r="C518" s="122"/>
      <c r="D518" s="122"/>
      <c r="E518" s="122"/>
      <c r="F518" s="122"/>
      <c r="G518" s="123"/>
      <c r="H518" s="122"/>
      <c r="I518" s="17"/>
      <c r="J518" s="19"/>
      <c r="K518" s="82" t="s">
        <v>1723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22"/>
      <c r="B519" s="122"/>
      <c r="C519" s="122"/>
      <c r="D519" s="122"/>
      <c r="E519" s="122"/>
      <c r="F519" s="122"/>
      <c r="G519" s="123"/>
      <c r="H519" s="122"/>
      <c r="I519" s="17"/>
      <c r="J519" s="19"/>
      <c r="K519" s="82" t="s">
        <v>1726</v>
      </c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22"/>
      <c r="B520" s="122"/>
      <c r="C520" s="122"/>
      <c r="D520" s="122"/>
      <c r="E520" s="122"/>
      <c r="F520" s="122"/>
      <c r="G520" s="123"/>
      <c r="H520" s="122"/>
      <c r="I520" s="17"/>
      <c r="J520" s="19"/>
      <c r="K520" s="82" t="s">
        <v>1729</v>
      </c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22"/>
      <c r="B521" s="122"/>
      <c r="C521" s="122"/>
      <c r="D521" s="122"/>
      <c r="E521" s="122"/>
      <c r="F521" s="122"/>
      <c r="G521" s="123"/>
      <c r="H521" s="122"/>
      <c r="I521" s="17"/>
      <c r="J521" s="19"/>
      <c r="K521" s="82" t="s">
        <v>1732</v>
      </c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22"/>
      <c r="B522" s="122"/>
      <c r="C522" s="122"/>
      <c r="D522" s="122"/>
      <c r="E522" s="122"/>
      <c r="F522" s="122"/>
      <c r="G522" s="123"/>
      <c r="H522" s="122"/>
      <c r="I522" s="17"/>
      <c r="J522" s="19"/>
      <c r="K522" s="82" t="s">
        <v>1737</v>
      </c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22"/>
      <c r="B523" s="122"/>
      <c r="C523" s="122"/>
      <c r="D523" s="122"/>
      <c r="E523" s="122"/>
      <c r="F523" s="122"/>
      <c r="G523" s="123"/>
      <c r="H523" s="122"/>
      <c r="I523" s="17"/>
      <c r="J523" s="19"/>
      <c r="K523" s="82" t="s">
        <v>1740</v>
      </c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22"/>
      <c r="B524" s="122"/>
      <c r="C524" s="122"/>
      <c r="D524" s="122"/>
      <c r="E524" s="122"/>
      <c r="F524" s="122"/>
      <c r="G524" s="123"/>
      <c r="H524" s="122"/>
      <c r="I524" s="17"/>
      <c r="J524" s="19"/>
      <c r="K524" s="82" t="s">
        <v>1743</v>
      </c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22"/>
      <c r="B525" s="122"/>
      <c r="C525" s="122"/>
      <c r="D525" s="122"/>
      <c r="E525" s="122"/>
      <c r="F525" s="122"/>
      <c r="G525" s="123"/>
      <c r="H525" s="122"/>
      <c r="I525" s="17"/>
      <c r="J525" s="19"/>
      <c r="K525" s="82" t="s">
        <v>1746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22"/>
      <c r="B526" s="122"/>
      <c r="C526" s="122"/>
      <c r="D526" s="122"/>
      <c r="E526" s="122"/>
      <c r="F526" s="122"/>
      <c r="G526" s="123"/>
      <c r="H526" s="122"/>
      <c r="I526" s="17"/>
      <c r="J526" s="19"/>
      <c r="K526" s="82" t="s">
        <v>1749</v>
      </c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22"/>
      <c r="B527" s="122"/>
      <c r="C527" s="122"/>
      <c r="D527" s="122"/>
      <c r="E527" s="122"/>
      <c r="F527" s="122"/>
      <c r="G527" s="123"/>
      <c r="H527" s="122"/>
      <c r="I527" s="17"/>
      <c r="J527" s="19"/>
      <c r="K527" s="82" t="s">
        <v>1752</v>
      </c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22"/>
      <c r="B528" s="122"/>
      <c r="C528" s="122"/>
      <c r="D528" s="122"/>
      <c r="E528" s="122"/>
      <c r="F528" s="122"/>
      <c r="G528" s="123"/>
      <c r="H528" s="122"/>
      <c r="I528" s="17"/>
      <c r="J528" s="19"/>
      <c r="K528" s="82" t="s">
        <v>1755</v>
      </c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22"/>
      <c r="B529" s="122"/>
      <c r="C529" s="122"/>
      <c r="D529" s="122"/>
      <c r="E529" s="122"/>
      <c r="F529" s="122"/>
      <c r="G529" s="123"/>
      <c r="H529" s="122"/>
      <c r="I529" s="17"/>
      <c r="J529" s="19"/>
      <c r="K529" s="82" t="s">
        <v>1757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22"/>
      <c r="B530" s="122"/>
      <c r="C530" s="122"/>
      <c r="D530" s="122"/>
      <c r="E530" s="122"/>
      <c r="F530" s="122"/>
      <c r="G530" s="123"/>
      <c r="H530" s="122"/>
      <c r="I530" s="17"/>
      <c r="J530" s="19"/>
      <c r="K530" s="82" t="s">
        <v>1759</v>
      </c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22"/>
      <c r="B531" s="122"/>
      <c r="C531" s="122"/>
      <c r="D531" s="122"/>
      <c r="E531" s="122"/>
      <c r="F531" s="122"/>
      <c r="G531" s="123"/>
      <c r="H531" s="122"/>
      <c r="I531" s="17"/>
      <c r="J531" s="19"/>
      <c r="K531" s="82" t="s">
        <v>1761</v>
      </c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22"/>
      <c r="B532" s="122"/>
      <c r="C532" s="122"/>
      <c r="D532" s="122"/>
      <c r="E532" s="122"/>
      <c r="F532" s="122"/>
      <c r="G532" s="123"/>
      <c r="H532" s="122"/>
      <c r="I532" s="17"/>
      <c r="J532" s="19"/>
      <c r="K532" s="82" t="s">
        <v>1763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22"/>
      <c r="B533" s="122"/>
      <c r="C533" s="122"/>
      <c r="D533" s="122"/>
      <c r="E533" s="122"/>
      <c r="F533" s="122"/>
      <c r="G533" s="123"/>
      <c r="H533" s="122"/>
      <c r="I533" s="17"/>
      <c r="J533" s="19"/>
      <c r="K533" s="82" t="s">
        <v>1766</v>
      </c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22"/>
      <c r="B534" s="122"/>
      <c r="C534" s="122"/>
      <c r="D534" s="122"/>
      <c r="E534" s="122"/>
      <c r="F534" s="122"/>
      <c r="G534" s="123"/>
      <c r="H534" s="122"/>
      <c r="I534" s="17"/>
      <c r="J534" s="19"/>
      <c r="K534" s="82" t="s">
        <v>1767</v>
      </c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22"/>
      <c r="B535" s="122"/>
      <c r="C535" s="122"/>
      <c r="D535" s="122"/>
      <c r="E535" s="122"/>
      <c r="F535" s="122"/>
      <c r="G535" s="123"/>
      <c r="H535" s="122"/>
      <c r="I535" s="17"/>
      <c r="J535" s="19"/>
      <c r="K535" s="82" t="s">
        <v>1770</v>
      </c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22"/>
      <c r="B536" s="122"/>
      <c r="C536" s="122"/>
      <c r="D536" s="122"/>
      <c r="E536" s="122"/>
      <c r="F536" s="122"/>
      <c r="G536" s="123"/>
      <c r="H536" s="122"/>
      <c r="I536" s="17"/>
      <c r="J536" s="19"/>
      <c r="K536" s="82" t="s">
        <v>1773</v>
      </c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22"/>
      <c r="B537" s="122"/>
      <c r="C537" s="122"/>
      <c r="D537" s="122"/>
      <c r="E537" s="122"/>
      <c r="F537" s="122"/>
      <c r="G537" s="123"/>
      <c r="H537" s="122"/>
      <c r="I537" s="17"/>
      <c r="J537" s="19"/>
      <c r="K537" s="82" t="s">
        <v>1776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22"/>
      <c r="B538" s="122"/>
      <c r="C538" s="122"/>
      <c r="D538" s="122"/>
      <c r="E538" s="122"/>
      <c r="F538" s="122"/>
      <c r="G538" s="123"/>
      <c r="H538" s="122"/>
      <c r="I538" s="17"/>
      <c r="J538" s="19"/>
      <c r="K538" s="82" t="s">
        <v>1779</v>
      </c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22"/>
      <c r="B539" s="122"/>
      <c r="C539" s="122"/>
      <c r="D539" s="122"/>
      <c r="E539" s="122"/>
      <c r="F539" s="122"/>
      <c r="G539" s="123"/>
      <c r="H539" s="122"/>
      <c r="I539" s="17"/>
      <c r="J539" s="19"/>
      <c r="K539" s="82" t="s">
        <v>1782</v>
      </c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22"/>
      <c r="B540" s="122"/>
      <c r="C540" s="122"/>
      <c r="D540" s="122"/>
      <c r="E540" s="122"/>
      <c r="F540" s="122"/>
      <c r="G540" s="123"/>
      <c r="H540" s="122"/>
      <c r="I540" s="17"/>
      <c r="J540" s="19"/>
      <c r="K540" s="82" t="s">
        <v>1785</v>
      </c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22"/>
      <c r="B541" s="122"/>
      <c r="C541" s="122"/>
      <c r="D541" s="122"/>
      <c r="E541" s="122"/>
      <c r="F541" s="122"/>
      <c r="G541" s="123"/>
      <c r="H541" s="122"/>
      <c r="I541" s="17"/>
      <c r="J541" s="19"/>
      <c r="K541" s="82" t="s">
        <v>1788</v>
      </c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22"/>
      <c r="B542" s="122"/>
      <c r="C542" s="122"/>
      <c r="D542" s="122"/>
      <c r="E542" s="122"/>
      <c r="F542" s="122"/>
      <c r="G542" s="123"/>
      <c r="H542" s="122"/>
      <c r="I542" s="17"/>
      <c r="J542" s="19"/>
      <c r="K542" s="82" t="s">
        <v>1791</v>
      </c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22"/>
      <c r="B543" s="122"/>
      <c r="C543" s="122"/>
      <c r="D543" s="122"/>
      <c r="E543" s="122"/>
      <c r="F543" s="122"/>
      <c r="G543" s="123"/>
      <c r="H543" s="122"/>
      <c r="I543" s="17"/>
      <c r="J543" s="19"/>
      <c r="K543" s="82" t="s">
        <v>1794</v>
      </c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22"/>
      <c r="B544" s="122"/>
      <c r="C544" s="122"/>
      <c r="D544" s="122"/>
      <c r="E544" s="122"/>
      <c r="F544" s="122"/>
      <c r="G544" s="123"/>
      <c r="H544" s="122"/>
      <c r="I544" s="17"/>
      <c r="J544" s="19"/>
      <c r="K544" s="82" t="s">
        <v>1796</v>
      </c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22"/>
      <c r="B545" s="122"/>
      <c r="C545" s="122"/>
      <c r="D545" s="122"/>
      <c r="E545" s="122"/>
      <c r="F545" s="122"/>
      <c r="G545" s="123"/>
      <c r="H545" s="122"/>
      <c r="I545" s="17"/>
      <c r="J545" s="19"/>
      <c r="K545" s="82" t="s">
        <v>1800</v>
      </c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22"/>
      <c r="B546" s="122"/>
      <c r="C546" s="122"/>
      <c r="D546" s="122"/>
      <c r="E546" s="122"/>
      <c r="F546" s="122"/>
      <c r="G546" s="123"/>
      <c r="H546" s="122"/>
      <c r="I546" s="17"/>
      <c r="J546" s="19"/>
      <c r="K546" s="82" t="s">
        <v>1805</v>
      </c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22"/>
      <c r="B547" s="122"/>
      <c r="C547" s="122"/>
      <c r="D547" s="122"/>
      <c r="E547" s="122"/>
      <c r="F547" s="122"/>
      <c r="G547" s="123"/>
      <c r="H547" s="122"/>
      <c r="I547" s="17"/>
      <c r="J547" s="19"/>
      <c r="K547" s="82" t="s">
        <v>1810</v>
      </c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22"/>
      <c r="B548" s="122"/>
      <c r="C548" s="122"/>
      <c r="D548" s="122"/>
      <c r="E548" s="122"/>
      <c r="F548" s="122"/>
      <c r="G548" s="123"/>
      <c r="H548" s="122"/>
      <c r="I548" s="17"/>
      <c r="J548" s="19"/>
      <c r="K548" s="82" t="s">
        <v>1813</v>
      </c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22"/>
      <c r="B549" s="122"/>
      <c r="C549" s="122"/>
      <c r="D549" s="122"/>
      <c r="E549" s="122"/>
      <c r="F549" s="122"/>
      <c r="G549" s="123"/>
      <c r="H549" s="122"/>
      <c r="I549" s="17"/>
      <c r="J549" s="19"/>
      <c r="K549" s="82" t="s">
        <v>1815</v>
      </c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22"/>
      <c r="B550" s="122"/>
      <c r="C550" s="122"/>
      <c r="D550" s="122"/>
      <c r="E550" s="122"/>
      <c r="F550" s="122"/>
      <c r="G550" s="123"/>
      <c r="H550" s="122"/>
      <c r="I550" s="17"/>
      <c r="J550" s="19"/>
      <c r="K550" s="82" t="s">
        <v>1818</v>
      </c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22"/>
      <c r="B551" s="122"/>
      <c r="C551" s="122"/>
      <c r="D551" s="122"/>
      <c r="E551" s="122"/>
      <c r="F551" s="122"/>
      <c r="G551" s="123"/>
      <c r="H551" s="122"/>
      <c r="I551" s="17"/>
      <c r="J551" s="19"/>
      <c r="K551" s="82" t="s">
        <v>1821</v>
      </c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22"/>
      <c r="B552" s="122"/>
      <c r="C552" s="122"/>
      <c r="D552" s="122"/>
      <c r="E552" s="122"/>
      <c r="F552" s="122"/>
      <c r="G552" s="123"/>
      <c r="H552" s="122"/>
      <c r="I552" s="17"/>
      <c r="J552" s="19"/>
      <c r="K552" s="82" t="s">
        <v>1824</v>
      </c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22"/>
      <c r="B553" s="122"/>
      <c r="C553" s="122"/>
      <c r="D553" s="122"/>
      <c r="E553" s="122"/>
      <c r="F553" s="122"/>
      <c r="G553" s="123"/>
      <c r="H553" s="122"/>
      <c r="I553" s="17"/>
      <c r="J553" s="19"/>
      <c r="K553" s="82" t="s">
        <v>1827</v>
      </c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22"/>
      <c r="B554" s="122"/>
      <c r="C554" s="122"/>
      <c r="D554" s="122"/>
      <c r="E554" s="122"/>
      <c r="F554" s="122"/>
      <c r="G554" s="123"/>
      <c r="H554" s="122"/>
      <c r="I554" s="17"/>
      <c r="J554" s="19"/>
      <c r="K554" s="82" t="s">
        <v>1830</v>
      </c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22"/>
      <c r="B555" s="122"/>
      <c r="C555" s="122"/>
      <c r="D555" s="122"/>
      <c r="E555" s="122"/>
      <c r="F555" s="122"/>
      <c r="G555" s="123"/>
      <c r="H555" s="122"/>
      <c r="I555" s="17"/>
      <c r="J555" s="19"/>
      <c r="K555" s="82" t="s">
        <v>1833</v>
      </c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22"/>
      <c r="B556" s="122"/>
      <c r="C556" s="122"/>
      <c r="D556" s="122"/>
      <c r="E556" s="122"/>
      <c r="F556" s="122"/>
      <c r="G556" s="123"/>
      <c r="H556" s="122"/>
      <c r="I556" s="17"/>
      <c r="J556" s="19"/>
      <c r="K556" s="82" t="s">
        <v>1834</v>
      </c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22"/>
      <c r="B557" s="122"/>
      <c r="C557" s="122"/>
      <c r="D557" s="122"/>
      <c r="E557" s="122"/>
      <c r="F557" s="122"/>
      <c r="G557" s="123"/>
      <c r="H557" s="122"/>
      <c r="I557" s="17"/>
      <c r="J557" s="19"/>
      <c r="K557" s="82" t="s">
        <v>1837</v>
      </c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22"/>
      <c r="B558" s="122"/>
      <c r="C558" s="122"/>
      <c r="D558" s="122"/>
      <c r="E558" s="122"/>
      <c r="F558" s="122"/>
      <c r="G558" s="123"/>
      <c r="H558" s="122"/>
      <c r="I558" s="17"/>
      <c r="J558" s="19"/>
      <c r="K558" s="82" t="s">
        <v>1840</v>
      </c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22"/>
      <c r="B559" s="122"/>
      <c r="C559" s="122"/>
      <c r="D559" s="122"/>
      <c r="E559" s="122"/>
      <c r="F559" s="122"/>
      <c r="G559" s="123"/>
      <c r="H559" s="122"/>
      <c r="I559" s="17"/>
      <c r="J559" s="19"/>
      <c r="K559" s="82" t="s">
        <v>1843</v>
      </c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22"/>
      <c r="B560" s="122"/>
      <c r="C560" s="122"/>
      <c r="D560" s="122"/>
      <c r="E560" s="122"/>
      <c r="F560" s="122"/>
      <c r="G560" s="123"/>
      <c r="H560" s="122"/>
      <c r="I560" s="17"/>
      <c r="J560" s="19"/>
      <c r="K560" s="82" t="s">
        <v>1846</v>
      </c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22"/>
      <c r="B561" s="122"/>
      <c r="C561" s="122"/>
      <c r="D561" s="122"/>
      <c r="E561" s="122"/>
      <c r="F561" s="122"/>
      <c r="G561" s="123"/>
      <c r="H561" s="122"/>
      <c r="I561" s="17"/>
      <c r="J561" s="19"/>
      <c r="K561" s="82" t="s">
        <v>1849</v>
      </c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22"/>
      <c r="B562" s="122"/>
      <c r="C562" s="122"/>
      <c r="D562" s="122"/>
      <c r="E562" s="122"/>
      <c r="F562" s="122"/>
      <c r="G562" s="123"/>
      <c r="H562" s="122"/>
      <c r="I562" s="17"/>
      <c r="J562" s="19"/>
      <c r="K562" s="82" t="s">
        <v>1854</v>
      </c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22"/>
      <c r="B563" s="122"/>
      <c r="C563" s="122"/>
      <c r="D563" s="122"/>
      <c r="E563" s="122"/>
      <c r="F563" s="122"/>
      <c r="G563" s="123"/>
      <c r="H563" s="122"/>
      <c r="I563" s="17"/>
      <c r="J563" s="19"/>
      <c r="K563" s="82" t="s">
        <v>1857</v>
      </c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22"/>
      <c r="B564" s="122"/>
      <c r="C564" s="122"/>
      <c r="D564" s="122"/>
      <c r="E564" s="122"/>
      <c r="F564" s="122"/>
      <c r="G564" s="123"/>
      <c r="H564" s="122"/>
      <c r="I564" s="17"/>
      <c r="J564" s="19"/>
      <c r="K564" s="82" t="s">
        <v>1862</v>
      </c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22"/>
      <c r="B565" s="122"/>
      <c r="C565" s="122"/>
      <c r="D565" s="122"/>
      <c r="E565" s="122"/>
      <c r="F565" s="122"/>
      <c r="G565" s="123"/>
      <c r="H565" s="122"/>
      <c r="I565" s="17"/>
      <c r="J565" s="19"/>
      <c r="K565" s="82" t="s">
        <v>1865</v>
      </c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22"/>
      <c r="B566" s="122"/>
      <c r="C566" s="122"/>
      <c r="D566" s="122"/>
      <c r="E566" s="122"/>
      <c r="F566" s="122"/>
      <c r="G566" s="123"/>
      <c r="H566" s="122"/>
      <c r="I566" s="17"/>
      <c r="J566" s="19"/>
      <c r="K566" s="82" t="s">
        <v>1868</v>
      </c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22"/>
      <c r="B567" s="122"/>
      <c r="C567" s="122"/>
      <c r="D567" s="122"/>
      <c r="E567" s="122"/>
      <c r="F567" s="122"/>
      <c r="G567" s="123"/>
      <c r="H567" s="122"/>
      <c r="I567" s="17"/>
      <c r="J567" s="19"/>
      <c r="K567" s="82" t="s">
        <v>1871</v>
      </c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22"/>
      <c r="B568" s="122"/>
      <c r="C568" s="122"/>
      <c r="D568" s="122"/>
      <c r="E568" s="122"/>
      <c r="F568" s="122"/>
      <c r="G568" s="123"/>
      <c r="H568" s="122"/>
      <c r="I568" s="17"/>
      <c r="J568" s="19"/>
      <c r="K568" s="82" t="s">
        <v>1873</v>
      </c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22"/>
      <c r="B569" s="122"/>
      <c r="C569" s="122"/>
      <c r="D569" s="122"/>
      <c r="E569" s="122"/>
      <c r="F569" s="122"/>
      <c r="G569" s="123"/>
      <c r="H569" s="122"/>
      <c r="I569" s="17"/>
      <c r="J569" s="19"/>
      <c r="K569" s="82" t="s">
        <v>1875</v>
      </c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22"/>
      <c r="B570" s="122"/>
      <c r="C570" s="122"/>
      <c r="D570" s="122"/>
      <c r="E570" s="122"/>
      <c r="F570" s="122"/>
      <c r="G570" s="123"/>
      <c r="H570" s="122"/>
      <c r="I570" s="17"/>
      <c r="J570" s="19"/>
      <c r="K570" s="82" t="s">
        <v>1877</v>
      </c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22"/>
      <c r="B571" s="122"/>
      <c r="C571" s="122"/>
      <c r="D571" s="122"/>
      <c r="E571" s="122"/>
      <c r="F571" s="122"/>
      <c r="G571" s="123"/>
      <c r="H571" s="122"/>
      <c r="I571" s="17"/>
      <c r="J571" s="19"/>
      <c r="K571" s="82" t="s">
        <v>1879</v>
      </c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22"/>
      <c r="B572" s="122"/>
      <c r="C572" s="122"/>
      <c r="D572" s="122"/>
      <c r="E572" s="122"/>
      <c r="F572" s="122"/>
      <c r="G572" s="123"/>
      <c r="H572" s="122"/>
      <c r="I572" s="17"/>
      <c r="J572" s="19"/>
      <c r="K572" s="82" t="s">
        <v>1882</v>
      </c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22"/>
      <c r="B573" s="122"/>
      <c r="C573" s="122"/>
      <c r="D573" s="122"/>
      <c r="E573" s="122"/>
      <c r="F573" s="122"/>
      <c r="G573" s="123"/>
      <c r="H573" s="122"/>
      <c r="I573" s="17"/>
      <c r="J573" s="19"/>
      <c r="K573" s="82" t="s">
        <v>1884</v>
      </c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22"/>
      <c r="B574" s="122"/>
      <c r="C574" s="122"/>
      <c r="D574" s="122"/>
      <c r="E574" s="122"/>
      <c r="F574" s="122"/>
      <c r="G574" s="123"/>
      <c r="H574" s="122"/>
      <c r="I574" s="17"/>
      <c r="J574" s="19"/>
      <c r="K574" s="82" t="s">
        <v>1886</v>
      </c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22"/>
      <c r="B575" s="122"/>
      <c r="C575" s="122"/>
      <c r="D575" s="122"/>
      <c r="E575" s="122"/>
      <c r="F575" s="122"/>
      <c r="G575" s="123"/>
      <c r="H575" s="122"/>
      <c r="I575" s="17"/>
      <c r="J575" s="19"/>
      <c r="K575" s="82" t="s">
        <v>1889</v>
      </c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22"/>
      <c r="B576" s="122"/>
      <c r="C576" s="122"/>
      <c r="D576" s="122"/>
      <c r="E576" s="122"/>
      <c r="F576" s="122"/>
      <c r="G576" s="123"/>
      <c r="H576" s="122"/>
      <c r="I576" s="17"/>
      <c r="J576" s="19"/>
      <c r="K576" s="82" t="s">
        <v>1892</v>
      </c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22"/>
      <c r="B577" s="122"/>
      <c r="C577" s="122"/>
      <c r="D577" s="122"/>
      <c r="E577" s="122"/>
      <c r="F577" s="122"/>
      <c r="G577" s="123"/>
      <c r="H577" s="122"/>
      <c r="I577" s="17"/>
      <c r="J577" s="19"/>
      <c r="K577" s="82" t="s">
        <v>1896</v>
      </c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22"/>
      <c r="B578" s="122"/>
      <c r="C578" s="122"/>
      <c r="D578" s="122"/>
      <c r="E578" s="122"/>
      <c r="F578" s="122"/>
      <c r="G578" s="123"/>
      <c r="H578" s="122"/>
      <c r="I578" s="17"/>
      <c r="J578" s="19"/>
      <c r="K578" s="82" t="s">
        <v>1898</v>
      </c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22"/>
      <c r="B579" s="122"/>
      <c r="C579" s="122"/>
      <c r="D579" s="122"/>
      <c r="E579" s="122"/>
      <c r="F579" s="122"/>
      <c r="G579" s="123"/>
      <c r="H579" s="122"/>
      <c r="I579" s="17"/>
      <c r="J579" s="19"/>
      <c r="K579" s="82" t="s">
        <v>1902</v>
      </c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22"/>
      <c r="B580" s="122"/>
      <c r="C580" s="122"/>
      <c r="D580" s="122"/>
      <c r="E580" s="122"/>
      <c r="F580" s="122"/>
      <c r="G580" s="123"/>
      <c r="H580" s="122"/>
      <c r="I580" s="17"/>
      <c r="J580" s="19"/>
      <c r="K580" s="82" t="s">
        <v>1904</v>
      </c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22"/>
      <c r="B581" s="122"/>
      <c r="C581" s="122"/>
      <c r="D581" s="122"/>
      <c r="E581" s="122"/>
      <c r="F581" s="122"/>
      <c r="G581" s="123"/>
      <c r="H581" s="122"/>
      <c r="I581" s="17"/>
      <c r="J581" s="19"/>
      <c r="K581" s="82" t="s">
        <v>1907</v>
      </c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22"/>
      <c r="B582" s="122"/>
      <c r="C582" s="122"/>
      <c r="D582" s="122"/>
      <c r="E582" s="122"/>
      <c r="F582" s="122"/>
      <c r="G582" s="123"/>
      <c r="H582" s="122"/>
      <c r="I582" s="17"/>
      <c r="J582" s="19"/>
      <c r="K582" s="82" t="s">
        <v>1910</v>
      </c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22"/>
      <c r="B583" s="122"/>
      <c r="C583" s="122"/>
      <c r="D583" s="122"/>
      <c r="E583" s="122"/>
      <c r="F583" s="122"/>
      <c r="G583" s="123"/>
      <c r="H583" s="122"/>
      <c r="I583" s="17"/>
      <c r="J583" s="19"/>
      <c r="K583" s="82" t="s">
        <v>1913</v>
      </c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22"/>
      <c r="B584" s="122"/>
      <c r="C584" s="122"/>
      <c r="D584" s="122"/>
      <c r="E584" s="122"/>
      <c r="F584" s="122"/>
      <c r="G584" s="123"/>
      <c r="H584" s="122"/>
      <c r="I584" s="17"/>
      <c r="J584" s="19"/>
      <c r="K584" s="82" t="s">
        <v>1916</v>
      </c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22"/>
      <c r="B585" s="122"/>
      <c r="C585" s="122"/>
      <c r="D585" s="122"/>
      <c r="E585" s="122"/>
      <c r="F585" s="122"/>
      <c r="G585" s="123"/>
      <c r="H585" s="122"/>
      <c r="I585" s="17"/>
      <c r="J585" s="19"/>
      <c r="K585" s="82" t="s">
        <v>1917</v>
      </c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22"/>
      <c r="B586" s="122"/>
      <c r="C586" s="122"/>
      <c r="D586" s="122"/>
      <c r="E586" s="122"/>
      <c r="F586" s="122"/>
      <c r="G586" s="123"/>
      <c r="H586" s="122"/>
      <c r="I586" s="17"/>
      <c r="J586" s="19"/>
      <c r="K586" s="82" t="s">
        <v>1920</v>
      </c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22"/>
      <c r="B587" s="122"/>
      <c r="C587" s="122"/>
      <c r="D587" s="122"/>
      <c r="E587" s="122"/>
      <c r="F587" s="122"/>
      <c r="G587" s="123"/>
      <c r="H587" s="122"/>
      <c r="I587" s="17"/>
      <c r="J587" s="19"/>
      <c r="K587" s="82" t="s">
        <v>1921</v>
      </c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22"/>
      <c r="B588" s="122"/>
      <c r="C588" s="122"/>
      <c r="D588" s="122"/>
      <c r="E588" s="122"/>
      <c r="F588" s="122"/>
      <c r="G588" s="123"/>
      <c r="H588" s="122"/>
      <c r="I588" s="17"/>
      <c r="J588" s="19"/>
      <c r="K588" s="82" t="s">
        <v>1924</v>
      </c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22"/>
      <c r="B589" s="122"/>
      <c r="C589" s="122"/>
      <c r="D589" s="122"/>
      <c r="E589" s="122"/>
      <c r="F589" s="122"/>
      <c r="G589" s="123"/>
      <c r="H589" s="122"/>
      <c r="I589" s="17"/>
      <c r="J589" s="19"/>
      <c r="K589" s="82" t="s">
        <v>1927</v>
      </c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22"/>
      <c r="B590" s="122"/>
      <c r="C590" s="122"/>
      <c r="D590" s="122"/>
      <c r="E590" s="122"/>
      <c r="F590" s="122"/>
      <c r="G590" s="123"/>
      <c r="H590" s="122"/>
      <c r="I590" s="17"/>
      <c r="J590" s="19"/>
      <c r="K590" s="82" t="s">
        <v>1930</v>
      </c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22"/>
      <c r="B591" s="122"/>
      <c r="C591" s="122"/>
      <c r="D591" s="122"/>
      <c r="E591" s="122"/>
      <c r="F591" s="122"/>
      <c r="G591" s="123"/>
      <c r="H591" s="122"/>
      <c r="I591" s="17"/>
      <c r="J591" s="19"/>
      <c r="K591" s="82" t="s">
        <v>1931</v>
      </c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22"/>
      <c r="B592" s="122"/>
      <c r="C592" s="122"/>
      <c r="D592" s="122"/>
      <c r="E592" s="122"/>
      <c r="F592" s="122"/>
      <c r="G592" s="123"/>
      <c r="H592" s="122"/>
      <c r="I592" s="17"/>
      <c r="J592" s="19"/>
      <c r="K592" s="82" t="s">
        <v>1934</v>
      </c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22"/>
      <c r="B593" s="122"/>
      <c r="C593" s="122"/>
      <c r="D593" s="122"/>
      <c r="E593" s="122"/>
      <c r="F593" s="122"/>
      <c r="G593" s="123"/>
      <c r="H593" s="122"/>
      <c r="I593" s="17"/>
      <c r="J593" s="19"/>
      <c r="K593" s="82" t="s">
        <v>1937</v>
      </c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22"/>
      <c r="B594" s="122"/>
      <c r="C594" s="122"/>
      <c r="D594" s="122"/>
      <c r="E594" s="122"/>
      <c r="F594" s="122"/>
      <c r="G594" s="123"/>
      <c r="H594" s="122"/>
      <c r="I594" s="17"/>
      <c r="J594" s="19"/>
      <c r="K594" s="82" t="s">
        <v>1940</v>
      </c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22"/>
      <c r="B595" s="122"/>
      <c r="C595" s="122"/>
      <c r="D595" s="122"/>
      <c r="E595" s="122"/>
      <c r="F595" s="122"/>
      <c r="G595" s="123"/>
      <c r="H595" s="122"/>
      <c r="I595" s="17"/>
      <c r="J595" s="19"/>
      <c r="K595" s="82" t="s">
        <v>1943</v>
      </c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22"/>
      <c r="B596" s="122"/>
      <c r="C596" s="122"/>
      <c r="D596" s="122"/>
      <c r="E596" s="122"/>
      <c r="F596" s="122"/>
      <c r="G596" s="123"/>
      <c r="H596" s="122"/>
      <c r="I596" s="17"/>
      <c r="J596" s="19"/>
      <c r="K596" s="82" t="s">
        <v>1946</v>
      </c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22"/>
      <c r="B597" s="122"/>
      <c r="C597" s="122"/>
      <c r="D597" s="122"/>
      <c r="E597" s="122"/>
      <c r="F597" s="122"/>
      <c r="G597" s="123"/>
      <c r="H597" s="122"/>
      <c r="I597" s="17"/>
      <c r="J597" s="19"/>
      <c r="K597" s="82" t="s">
        <v>1947</v>
      </c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22"/>
      <c r="B598" s="122"/>
      <c r="C598" s="122"/>
      <c r="D598" s="122"/>
      <c r="E598" s="122"/>
      <c r="F598" s="122"/>
      <c r="G598" s="123"/>
      <c r="H598" s="122"/>
      <c r="I598" s="17"/>
      <c r="J598" s="19"/>
      <c r="K598" s="82" t="s">
        <v>1950</v>
      </c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22"/>
      <c r="B599" s="122"/>
      <c r="C599" s="122"/>
      <c r="D599" s="122"/>
      <c r="E599" s="122"/>
      <c r="F599" s="122"/>
      <c r="G599" s="123"/>
      <c r="H599" s="122"/>
      <c r="I599" s="17"/>
      <c r="J599" s="19"/>
      <c r="K599" s="82" t="s">
        <v>1953</v>
      </c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22"/>
      <c r="B600" s="122"/>
      <c r="C600" s="122"/>
      <c r="D600" s="122"/>
      <c r="E600" s="122"/>
      <c r="F600" s="122"/>
      <c r="G600" s="123"/>
      <c r="H600" s="122"/>
      <c r="I600" s="17"/>
      <c r="J600" s="19"/>
      <c r="K600" s="82" t="s">
        <v>1956</v>
      </c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22"/>
      <c r="B601" s="122"/>
      <c r="C601" s="122"/>
      <c r="D601" s="122"/>
      <c r="E601" s="122"/>
      <c r="F601" s="122"/>
      <c r="G601" s="123"/>
      <c r="H601" s="122"/>
      <c r="I601" s="17"/>
      <c r="J601" s="19"/>
      <c r="K601" s="82" t="s">
        <v>1959</v>
      </c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22"/>
      <c r="B602" s="122"/>
      <c r="C602" s="122"/>
      <c r="D602" s="122"/>
      <c r="E602" s="122"/>
      <c r="F602" s="122"/>
      <c r="G602" s="123"/>
      <c r="H602" s="122"/>
      <c r="I602" s="17"/>
      <c r="J602" s="19"/>
      <c r="K602" s="82" t="s">
        <v>1962</v>
      </c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22"/>
      <c r="B603" s="122"/>
      <c r="C603" s="122"/>
      <c r="D603" s="122"/>
      <c r="E603" s="122"/>
      <c r="F603" s="122"/>
      <c r="G603" s="123"/>
      <c r="H603" s="122"/>
      <c r="I603" s="17"/>
      <c r="J603" s="19"/>
      <c r="K603" s="82" t="s">
        <v>1965</v>
      </c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22"/>
      <c r="B604" s="122"/>
      <c r="C604" s="122"/>
      <c r="D604" s="122"/>
      <c r="E604" s="122"/>
      <c r="F604" s="122"/>
      <c r="G604" s="123"/>
      <c r="H604" s="122"/>
      <c r="I604" s="17"/>
      <c r="J604" s="19"/>
      <c r="K604" s="82" t="s">
        <v>1968</v>
      </c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22"/>
      <c r="B605" s="122"/>
      <c r="C605" s="122"/>
      <c r="D605" s="122"/>
      <c r="E605" s="122"/>
      <c r="F605" s="122"/>
      <c r="G605" s="123"/>
      <c r="H605" s="122"/>
      <c r="I605" s="17"/>
      <c r="J605" s="19"/>
      <c r="K605" s="82" t="s">
        <v>1971</v>
      </c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22"/>
      <c r="B606" s="122"/>
      <c r="C606" s="122"/>
      <c r="D606" s="122"/>
      <c r="E606" s="122"/>
      <c r="F606" s="122"/>
      <c r="G606" s="123"/>
      <c r="H606" s="122"/>
      <c r="I606" s="17"/>
      <c r="J606" s="19"/>
      <c r="K606" s="82" t="s">
        <v>1972</v>
      </c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22"/>
      <c r="B607" s="122"/>
      <c r="C607" s="122"/>
      <c r="D607" s="122"/>
      <c r="E607" s="122"/>
      <c r="F607" s="122"/>
      <c r="G607" s="123"/>
      <c r="H607" s="122"/>
      <c r="I607" s="17"/>
      <c r="J607" s="19"/>
      <c r="K607" s="82" t="s">
        <v>1975</v>
      </c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22"/>
      <c r="B608" s="122"/>
      <c r="C608" s="122"/>
      <c r="D608" s="122"/>
      <c r="E608" s="122"/>
      <c r="F608" s="122"/>
      <c r="G608" s="123"/>
      <c r="H608" s="122"/>
      <c r="I608" s="17"/>
      <c r="J608" s="19"/>
      <c r="K608" s="82" t="s">
        <v>1978</v>
      </c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22"/>
      <c r="B609" s="122"/>
      <c r="C609" s="122"/>
      <c r="D609" s="122"/>
      <c r="E609" s="122"/>
      <c r="F609" s="122"/>
      <c r="G609" s="123"/>
      <c r="H609" s="122"/>
      <c r="I609" s="17"/>
      <c r="J609" s="19"/>
      <c r="K609" s="82" t="s">
        <v>1981</v>
      </c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22"/>
      <c r="B610" s="122"/>
      <c r="C610" s="122"/>
      <c r="D610" s="122"/>
      <c r="E610" s="122"/>
      <c r="F610" s="122"/>
      <c r="G610" s="123"/>
      <c r="H610" s="122"/>
      <c r="I610" s="17"/>
      <c r="J610" s="19"/>
      <c r="K610" s="82" t="s">
        <v>1984</v>
      </c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22"/>
      <c r="B611" s="122"/>
      <c r="C611" s="122"/>
      <c r="D611" s="122"/>
      <c r="E611" s="122"/>
      <c r="F611" s="122"/>
      <c r="G611" s="123"/>
      <c r="H611" s="122"/>
      <c r="I611" s="17"/>
      <c r="J611" s="19"/>
      <c r="K611" s="82" t="s">
        <v>1987</v>
      </c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22"/>
      <c r="B612" s="122"/>
      <c r="C612" s="122"/>
      <c r="D612" s="122"/>
      <c r="E612" s="122"/>
      <c r="F612" s="122"/>
      <c r="G612" s="123"/>
      <c r="H612" s="122"/>
      <c r="I612" s="17"/>
      <c r="J612" s="19"/>
      <c r="K612" s="82" t="s">
        <v>1991</v>
      </c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22"/>
      <c r="B613" s="122"/>
      <c r="C613" s="122"/>
      <c r="D613" s="122"/>
      <c r="E613" s="122"/>
      <c r="F613" s="122"/>
      <c r="G613" s="123"/>
      <c r="H613" s="122"/>
      <c r="I613" s="17"/>
      <c r="J613" s="19"/>
      <c r="K613" s="82" t="s">
        <v>1993</v>
      </c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22"/>
      <c r="B614" s="122"/>
      <c r="C614" s="122"/>
      <c r="D614" s="122"/>
      <c r="E614" s="122"/>
      <c r="F614" s="122"/>
      <c r="G614" s="123"/>
      <c r="H614" s="122"/>
      <c r="I614" s="17"/>
      <c r="J614" s="19"/>
      <c r="K614" s="82" t="s">
        <v>1996</v>
      </c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22"/>
      <c r="B615" s="122"/>
      <c r="C615" s="122"/>
      <c r="D615" s="122"/>
      <c r="E615" s="122"/>
      <c r="F615" s="122"/>
      <c r="G615" s="123"/>
      <c r="H615" s="122"/>
      <c r="I615" s="17"/>
      <c r="J615" s="19"/>
      <c r="K615" s="82" t="s">
        <v>1999</v>
      </c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22"/>
      <c r="B616" s="122"/>
      <c r="C616" s="122"/>
      <c r="D616" s="122"/>
      <c r="E616" s="122"/>
      <c r="F616" s="122"/>
      <c r="G616" s="123"/>
      <c r="H616" s="122"/>
      <c r="I616" s="17"/>
      <c r="J616" s="19"/>
      <c r="K616" s="82" t="s">
        <v>2002</v>
      </c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22"/>
      <c r="B617" s="122"/>
      <c r="C617" s="122"/>
      <c r="D617" s="122"/>
      <c r="E617" s="122"/>
      <c r="F617" s="122"/>
      <c r="G617" s="123"/>
      <c r="H617" s="122"/>
      <c r="I617" s="17"/>
      <c r="J617" s="19"/>
      <c r="K617" s="82" t="s">
        <v>2007</v>
      </c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22"/>
      <c r="B618" s="122"/>
      <c r="C618" s="122"/>
      <c r="D618" s="122"/>
      <c r="E618" s="122"/>
      <c r="F618" s="122"/>
      <c r="G618" s="123"/>
      <c r="H618" s="122"/>
      <c r="I618" s="17"/>
      <c r="J618" s="19"/>
      <c r="K618" s="82" t="s">
        <v>2010</v>
      </c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22"/>
      <c r="B619" s="122"/>
      <c r="C619" s="122"/>
      <c r="D619" s="122"/>
      <c r="E619" s="122"/>
      <c r="F619" s="122"/>
      <c r="G619" s="123"/>
      <c r="H619" s="122"/>
      <c r="I619" s="17"/>
      <c r="J619" s="19"/>
      <c r="K619" s="82" t="s">
        <v>2015</v>
      </c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22"/>
      <c r="B620" s="122"/>
      <c r="C620" s="122"/>
      <c r="D620" s="122"/>
      <c r="E620" s="122"/>
      <c r="F620" s="122"/>
      <c r="G620" s="123"/>
      <c r="H620" s="122"/>
      <c r="I620" s="17"/>
      <c r="J620" s="19"/>
      <c r="K620" s="82" t="s">
        <v>2018</v>
      </c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22"/>
      <c r="B621" s="122"/>
      <c r="C621" s="122"/>
      <c r="D621" s="122"/>
      <c r="E621" s="122"/>
      <c r="F621" s="122"/>
      <c r="G621" s="123"/>
      <c r="H621" s="122"/>
      <c r="I621" s="17"/>
      <c r="J621" s="19"/>
      <c r="K621" s="82" t="s">
        <v>2021</v>
      </c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22"/>
      <c r="B622" s="122"/>
      <c r="C622" s="122"/>
      <c r="D622" s="122"/>
      <c r="E622" s="122"/>
      <c r="F622" s="122"/>
      <c r="G622" s="123"/>
      <c r="H622" s="122"/>
      <c r="I622" s="17"/>
      <c r="J622" s="19"/>
      <c r="K622" s="82" t="s">
        <v>2024</v>
      </c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22"/>
      <c r="B623" s="122"/>
      <c r="C623" s="122"/>
      <c r="D623" s="122"/>
      <c r="E623" s="122"/>
      <c r="F623" s="122"/>
      <c r="G623" s="123"/>
      <c r="H623" s="122"/>
      <c r="I623" s="17"/>
      <c r="J623" s="19"/>
      <c r="K623" s="82" t="s">
        <v>2027</v>
      </c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22"/>
      <c r="B624" s="122"/>
      <c r="C624" s="122"/>
      <c r="D624" s="122"/>
      <c r="E624" s="122"/>
      <c r="F624" s="122"/>
      <c r="G624" s="123"/>
      <c r="H624" s="122"/>
      <c r="I624" s="17"/>
      <c r="J624" s="19"/>
      <c r="K624" s="82" t="s">
        <v>2030</v>
      </c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22"/>
      <c r="B625" s="122"/>
      <c r="C625" s="122"/>
      <c r="D625" s="122"/>
      <c r="E625" s="122"/>
      <c r="F625" s="122"/>
      <c r="G625" s="123"/>
      <c r="H625" s="122"/>
      <c r="I625" s="17"/>
      <c r="J625" s="19"/>
      <c r="K625" s="82" t="s">
        <v>2033</v>
      </c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22"/>
      <c r="B626" s="122"/>
      <c r="C626" s="122"/>
      <c r="D626" s="122"/>
      <c r="E626" s="122"/>
      <c r="F626" s="122"/>
      <c r="G626" s="123"/>
      <c r="H626" s="122"/>
      <c r="I626" s="17"/>
      <c r="J626" s="19"/>
      <c r="K626" s="82" t="s">
        <v>2036</v>
      </c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22"/>
      <c r="B627" s="122"/>
      <c r="C627" s="122"/>
      <c r="D627" s="122"/>
      <c r="E627" s="122"/>
      <c r="F627" s="122"/>
      <c r="G627" s="123"/>
      <c r="H627" s="122"/>
      <c r="I627" s="17"/>
      <c r="J627" s="19"/>
      <c r="K627" s="82" t="s">
        <v>2039</v>
      </c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22"/>
      <c r="B628" s="122"/>
      <c r="C628" s="122"/>
      <c r="D628" s="122"/>
      <c r="E628" s="122"/>
      <c r="F628" s="122"/>
      <c r="G628" s="123"/>
      <c r="H628" s="122"/>
      <c r="I628" s="17"/>
      <c r="J628" s="19"/>
      <c r="K628" s="82" t="s">
        <v>2042</v>
      </c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22"/>
      <c r="B629" s="122"/>
      <c r="C629" s="122"/>
      <c r="D629" s="122"/>
      <c r="E629" s="122"/>
      <c r="F629" s="122"/>
      <c r="G629" s="123"/>
      <c r="H629" s="122"/>
      <c r="I629" s="17"/>
      <c r="J629" s="19"/>
      <c r="K629" s="82" t="s">
        <v>2045</v>
      </c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22"/>
      <c r="B630" s="122"/>
      <c r="C630" s="122"/>
      <c r="D630" s="122"/>
      <c r="E630" s="122"/>
      <c r="F630" s="122"/>
      <c r="G630" s="123"/>
      <c r="H630" s="122"/>
      <c r="I630" s="17"/>
      <c r="J630" s="19"/>
      <c r="K630" s="82" t="s">
        <v>2048</v>
      </c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22"/>
      <c r="B631" s="122"/>
      <c r="C631" s="122"/>
      <c r="D631" s="122"/>
      <c r="E631" s="122"/>
      <c r="F631" s="122"/>
      <c r="G631" s="123"/>
      <c r="H631" s="122"/>
      <c r="I631" s="17"/>
      <c r="J631" s="19"/>
      <c r="K631" s="82" t="s">
        <v>2051</v>
      </c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22"/>
      <c r="B632" s="122"/>
      <c r="C632" s="122"/>
      <c r="D632" s="122"/>
      <c r="E632" s="122"/>
      <c r="F632" s="122"/>
      <c r="G632" s="123"/>
      <c r="H632" s="122"/>
      <c r="I632" s="17"/>
      <c r="J632" s="19"/>
      <c r="K632" s="82" t="s">
        <v>2054</v>
      </c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22"/>
      <c r="B633" s="122"/>
      <c r="C633" s="122"/>
      <c r="D633" s="122"/>
      <c r="E633" s="122"/>
      <c r="F633" s="122"/>
      <c r="G633" s="123"/>
      <c r="H633" s="122"/>
      <c r="I633" s="17"/>
      <c r="J633" s="19"/>
      <c r="K633" s="82" t="s">
        <v>2056</v>
      </c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22"/>
      <c r="B634" s="122"/>
      <c r="C634" s="122"/>
      <c r="D634" s="122"/>
      <c r="E634" s="122"/>
      <c r="F634" s="122"/>
      <c r="G634" s="123"/>
      <c r="H634" s="122"/>
      <c r="I634" s="17"/>
      <c r="J634" s="19"/>
      <c r="K634" s="82" t="s">
        <v>2058</v>
      </c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22"/>
      <c r="B635" s="122"/>
      <c r="C635" s="122"/>
      <c r="D635" s="122"/>
      <c r="E635" s="122"/>
      <c r="F635" s="122"/>
      <c r="G635" s="123"/>
      <c r="H635" s="122"/>
      <c r="I635" s="17"/>
      <c r="J635" s="19"/>
      <c r="K635" s="82" t="s">
        <v>2061</v>
      </c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22"/>
      <c r="B636" s="122"/>
      <c r="C636" s="122"/>
      <c r="D636" s="122"/>
      <c r="E636" s="122"/>
      <c r="F636" s="122"/>
      <c r="G636" s="123"/>
      <c r="H636" s="122"/>
      <c r="I636" s="17"/>
      <c r="J636" s="19"/>
      <c r="K636" s="82" t="s">
        <v>2064</v>
      </c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22"/>
      <c r="B637" s="122"/>
      <c r="C637" s="122"/>
      <c r="D637" s="122"/>
      <c r="E637" s="122"/>
      <c r="F637" s="122"/>
      <c r="G637" s="123"/>
      <c r="H637" s="122"/>
      <c r="I637" s="17"/>
      <c r="J637" s="19"/>
      <c r="K637" s="82" t="s">
        <v>2067</v>
      </c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22"/>
      <c r="B638" s="122"/>
      <c r="C638" s="122"/>
      <c r="D638" s="122"/>
      <c r="E638" s="122"/>
      <c r="F638" s="122"/>
      <c r="G638" s="123"/>
      <c r="H638" s="122"/>
      <c r="I638" s="17"/>
      <c r="J638" s="19"/>
      <c r="K638" s="82" t="s">
        <v>2070</v>
      </c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22"/>
      <c r="B639" s="122"/>
      <c r="C639" s="122"/>
      <c r="D639" s="122"/>
      <c r="E639" s="122"/>
      <c r="F639" s="122"/>
      <c r="G639" s="123"/>
      <c r="H639" s="122"/>
      <c r="I639" s="17"/>
      <c r="J639" s="19"/>
      <c r="K639" s="82" t="s">
        <v>2072</v>
      </c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22"/>
      <c r="B640" s="122"/>
      <c r="C640" s="122"/>
      <c r="D640" s="122"/>
      <c r="E640" s="122"/>
      <c r="F640" s="122"/>
      <c r="G640" s="123"/>
      <c r="H640" s="122"/>
      <c r="I640" s="17"/>
      <c r="J640" s="19"/>
      <c r="K640" s="82" t="s">
        <v>2074</v>
      </c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22"/>
      <c r="B641" s="122"/>
      <c r="C641" s="122"/>
      <c r="D641" s="122"/>
      <c r="E641" s="122"/>
      <c r="F641" s="122"/>
      <c r="G641" s="123"/>
      <c r="H641" s="122"/>
      <c r="I641" s="17"/>
      <c r="J641" s="19"/>
      <c r="K641" s="82" t="s">
        <v>2077</v>
      </c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22"/>
      <c r="B642" s="122"/>
      <c r="C642" s="122"/>
      <c r="D642" s="122"/>
      <c r="E642" s="122"/>
      <c r="F642" s="122"/>
      <c r="G642" s="123"/>
      <c r="H642" s="122"/>
      <c r="I642" s="17"/>
      <c r="J642" s="19"/>
      <c r="K642" s="82" t="s">
        <v>2079</v>
      </c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22"/>
      <c r="B643" s="122"/>
      <c r="C643" s="122"/>
      <c r="D643" s="122"/>
      <c r="E643" s="122"/>
      <c r="F643" s="122"/>
      <c r="G643" s="123"/>
      <c r="H643" s="122"/>
      <c r="I643" s="17"/>
      <c r="J643" s="19"/>
      <c r="K643" s="82" t="s">
        <v>2082</v>
      </c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22"/>
      <c r="B644" s="122"/>
      <c r="C644" s="122"/>
      <c r="D644" s="122"/>
      <c r="E644" s="122"/>
      <c r="F644" s="122"/>
      <c r="G644" s="123"/>
      <c r="H644" s="122"/>
      <c r="I644" s="17"/>
      <c r="J644" s="19"/>
      <c r="K644" s="82" t="s">
        <v>2085</v>
      </c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22"/>
      <c r="B645" s="122"/>
      <c r="C645" s="122"/>
      <c r="D645" s="122"/>
      <c r="E645" s="122"/>
      <c r="F645" s="122"/>
      <c r="G645" s="123"/>
      <c r="H645" s="122"/>
      <c r="I645" s="17"/>
      <c r="J645" s="19"/>
      <c r="K645" s="82" t="s">
        <v>2088</v>
      </c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22"/>
      <c r="B646" s="122"/>
      <c r="C646" s="122"/>
      <c r="D646" s="122"/>
      <c r="E646" s="122"/>
      <c r="F646" s="122"/>
      <c r="G646" s="123"/>
      <c r="H646" s="122"/>
      <c r="I646" s="17"/>
      <c r="J646" s="19"/>
      <c r="K646" s="82" t="s">
        <v>2091</v>
      </c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22"/>
      <c r="B647" s="122"/>
      <c r="C647" s="122"/>
      <c r="D647" s="122"/>
      <c r="E647" s="122"/>
      <c r="F647" s="122"/>
      <c r="G647" s="123"/>
      <c r="H647" s="122"/>
      <c r="I647" s="17"/>
      <c r="J647" s="19"/>
      <c r="K647" s="82" t="s">
        <v>2094</v>
      </c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22"/>
      <c r="B648" s="122"/>
      <c r="C648" s="122"/>
      <c r="D648" s="122"/>
      <c r="E648" s="122"/>
      <c r="F648" s="122"/>
      <c r="G648" s="123"/>
      <c r="H648" s="122"/>
      <c r="I648" s="17"/>
      <c r="J648" s="19"/>
      <c r="K648" s="82" t="s">
        <v>2095</v>
      </c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22"/>
      <c r="B649" s="122"/>
      <c r="C649" s="122"/>
      <c r="D649" s="122"/>
      <c r="E649" s="122"/>
      <c r="F649" s="122"/>
      <c r="G649" s="123"/>
      <c r="H649" s="122"/>
      <c r="I649" s="17"/>
      <c r="J649" s="19"/>
      <c r="K649" s="82" t="s">
        <v>2097</v>
      </c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22"/>
      <c r="B650" s="122"/>
      <c r="C650" s="122"/>
      <c r="D650" s="122"/>
      <c r="E650" s="122"/>
      <c r="F650" s="122"/>
      <c r="G650" s="123"/>
      <c r="H650" s="122"/>
      <c r="I650" s="17"/>
      <c r="J650" s="19"/>
      <c r="K650" s="82" t="s">
        <v>2099</v>
      </c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22"/>
      <c r="B651" s="122"/>
      <c r="C651" s="122"/>
      <c r="D651" s="122"/>
      <c r="E651" s="122"/>
      <c r="F651" s="122"/>
      <c r="G651" s="123"/>
      <c r="H651" s="122"/>
      <c r="I651" s="17"/>
      <c r="J651" s="19"/>
      <c r="K651" s="82" t="s">
        <v>2101</v>
      </c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22"/>
      <c r="B652" s="122"/>
      <c r="C652" s="122"/>
      <c r="D652" s="122"/>
      <c r="E652" s="122"/>
      <c r="F652" s="122"/>
      <c r="G652" s="123"/>
      <c r="H652" s="122"/>
      <c r="I652" s="17"/>
      <c r="J652" s="19"/>
      <c r="K652" s="82" t="s">
        <v>2104</v>
      </c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22"/>
      <c r="B653" s="122"/>
      <c r="C653" s="122"/>
      <c r="D653" s="122"/>
      <c r="E653" s="122"/>
      <c r="F653" s="122"/>
      <c r="G653" s="123"/>
      <c r="H653" s="122"/>
      <c r="I653" s="17"/>
      <c r="J653" s="19"/>
      <c r="K653" s="82" t="s">
        <v>2105</v>
      </c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22"/>
      <c r="B654" s="122"/>
      <c r="C654" s="122"/>
      <c r="D654" s="122"/>
      <c r="E654" s="122"/>
      <c r="F654" s="122"/>
      <c r="G654" s="123"/>
      <c r="H654" s="122"/>
      <c r="I654" s="17"/>
      <c r="J654" s="19"/>
      <c r="K654" s="82" t="s">
        <v>2106</v>
      </c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22"/>
      <c r="B655" s="122"/>
      <c r="C655" s="122"/>
      <c r="D655" s="122"/>
      <c r="E655" s="122"/>
      <c r="F655" s="122"/>
      <c r="G655" s="123"/>
      <c r="H655" s="122"/>
      <c r="I655" s="17"/>
      <c r="J655" s="19"/>
      <c r="K655" s="82" t="s">
        <v>2109</v>
      </c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22"/>
      <c r="B656" s="122"/>
      <c r="C656" s="122"/>
      <c r="D656" s="122"/>
      <c r="E656" s="122"/>
      <c r="F656" s="122"/>
      <c r="G656" s="123"/>
      <c r="H656" s="122"/>
      <c r="I656" s="17"/>
      <c r="J656" s="19"/>
      <c r="K656" s="82" t="s">
        <v>2110</v>
      </c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22"/>
      <c r="B657" s="122"/>
      <c r="C657" s="122"/>
      <c r="D657" s="122"/>
      <c r="E657" s="122"/>
      <c r="F657" s="122"/>
      <c r="G657" s="123"/>
      <c r="H657" s="122"/>
      <c r="I657" s="17"/>
      <c r="J657" s="19"/>
      <c r="K657" s="82" t="s">
        <v>2113</v>
      </c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22"/>
      <c r="B658" s="122"/>
      <c r="C658" s="122"/>
      <c r="D658" s="122"/>
      <c r="E658" s="122"/>
      <c r="F658" s="122"/>
      <c r="G658" s="123"/>
      <c r="H658" s="122"/>
      <c r="I658" s="17"/>
      <c r="J658" s="19"/>
      <c r="K658" s="82" t="s">
        <v>2115</v>
      </c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22"/>
      <c r="B659" s="122"/>
      <c r="C659" s="122"/>
      <c r="D659" s="122"/>
      <c r="E659" s="122"/>
      <c r="F659" s="122"/>
      <c r="G659" s="123"/>
      <c r="H659" s="122"/>
      <c r="I659" s="17"/>
      <c r="J659" s="19"/>
      <c r="K659" s="82" t="s">
        <v>2117</v>
      </c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22"/>
      <c r="B660" s="122"/>
      <c r="C660" s="122"/>
      <c r="D660" s="122"/>
      <c r="E660" s="122"/>
      <c r="F660" s="122"/>
      <c r="G660" s="123"/>
      <c r="H660" s="122"/>
      <c r="I660" s="17"/>
      <c r="J660" s="19"/>
      <c r="K660" s="82" t="s">
        <v>2120</v>
      </c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22"/>
      <c r="B661" s="122"/>
      <c r="C661" s="122"/>
      <c r="D661" s="122"/>
      <c r="E661" s="122"/>
      <c r="F661" s="122"/>
      <c r="G661" s="123"/>
      <c r="H661" s="122"/>
      <c r="I661" s="17"/>
      <c r="J661" s="19"/>
      <c r="K661" s="82" t="s">
        <v>2122</v>
      </c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22"/>
      <c r="B662" s="122"/>
      <c r="C662" s="122"/>
      <c r="D662" s="122"/>
      <c r="E662" s="122"/>
      <c r="F662" s="122"/>
      <c r="G662" s="123"/>
      <c r="H662" s="122"/>
      <c r="I662" s="17"/>
      <c r="J662" s="19"/>
      <c r="K662" s="82" t="s">
        <v>2126</v>
      </c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22"/>
      <c r="B663" s="122"/>
      <c r="C663" s="122"/>
      <c r="D663" s="122"/>
      <c r="E663" s="122"/>
      <c r="F663" s="122"/>
      <c r="G663" s="123"/>
      <c r="H663" s="122"/>
      <c r="I663" s="17"/>
      <c r="J663" s="19"/>
      <c r="K663" s="82" t="s">
        <v>2127</v>
      </c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22"/>
      <c r="B664" s="122"/>
      <c r="C664" s="122"/>
      <c r="D664" s="122"/>
      <c r="E664" s="122"/>
      <c r="F664" s="122"/>
      <c r="G664" s="123"/>
      <c r="H664" s="122"/>
      <c r="I664" s="17"/>
      <c r="J664" s="19"/>
      <c r="K664" s="82" t="s">
        <v>2130</v>
      </c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22"/>
      <c r="B665" s="122"/>
      <c r="C665" s="122"/>
      <c r="D665" s="122"/>
      <c r="E665" s="122"/>
      <c r="F665" s="122"/>
      <c r="G665" s="123"/>
      <c r="H665" s="122"/>
      <c r="I665" s="17"/>
      <c r="J665" s="19"/>
      <c r="K665" s="82" t="s">
        <v>2133</v>
      </c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22"/>
      <c r="B666" s="122"/>
      <c r="C666" s="122"/>
      <c r="D666" s="122"/>
      <c r="E666" s="122"/>
      <c r="F666" s="122"/>
      <c r="G666" s="123"/>
      <c r="H666" s="122"/>
      <c r="I666" s="17"/>
      <c r="J666" s="19"/>
      <c r="K666" s="82" t="s">
        <v>2136</v>
      </c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22"/>
      <c r="B667" s="122"/>
      <c r="C667" s="122"/>
      <c r="D667" s="122"/>
      <c r="E667" s="122"/>
      <c r="F667" s="122"/>
      <c r="G667" s="123"/>
      <c r="H667" s="122"/>
      <c r="I667" s="17"/>
      <c r="J667" s="19"/>
      <c r="K667" s="82" t="s">
        <v>2139</v>
      </c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22"/>
      <c r="B668" s="122"/>
      <c r="C668" s="122"/>
      <c r="D668" s="122"/>
      <c r="E668" s="122"/>
      <c r="F668" s="122"/>
      <c r="G668" s="123"/>
      <c r="H668" s="122"/>
      <c r="I668" s="17"/>
      <c r="J668" s="19"/>
      <c r="K668" s="82" t="s">
        <v>2140</v>
      </c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22"/>
      <c r="B669" s="122"/>
      <c r="C669" s="122"/>
      <c r="D669" s="122"/>
      <c r="E669" s="122"/>
      <c r="F669" s="122"/>
      <c r="G669" s="123"/>
      <c r="H669" s="122"/>
      <c r="I669" s="17"/>
      <c r="J669" s="19"/>
      <c r="K669" s="82" t="s">
        <v>2143</v>
      </c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22"/>
      <c r="B670" s="122"/>
      <c r="C670" s="122"/>
      <c r="D670" s="122"/>
      <c r="E670" s="122"/>
      <c r="F670" s="122"/>
      <c r="G670" s="123"/>
      <c r="H670" s="122"/>
      <c r="I670" s="17"/>
      <c r="J670" s="19"/>
      <c r="K670" s="82" t="s">
        <v>2146</v>
      </c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22"/>
      <c r="B671" s="122"/>
      <c r="C671" s="122"/>
      <c r="D671" s="122"/>
      <c r="E671" s="122"/>
      <c r="F671" s="122"/>
      <c r="G671" s="123"/>
      <c r="H671" s="122"/>
      <c r="I671" s="17"/>
      <c r="J671" s="19"/>
      <c r="K671" s="82" t="s">
        <v>2147</v>
      </c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22"/>
      <c r="B672" s="122"/>
      <c r="C672" s="122"/>
      <c r="D672" s="122"/>
      <c r="E672" s="122"/>
      <c r="F672" s="122"/>
      <c r="G672" s="123"/>
      <c r="H672" s="122"/>
      <c r="I672" s="17"/>
      <c r="J672" s="19"/>
      <c r="K672" s="82" t="s">
        <v>2150</v>
      </c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22"/>
      <c r="B673" s="122"/>
      <c r="C673" s="122"/>
      <c r="D673" s="122"/>
      <c r="E673" s="122"/>
      <c r="F673" s="122"/>
      <c r="G673" s="123"/>
      <c r="H673" s="122"/>
      <c r="I673" s="17"/>
      <c r="J673" s="19"/>
      <c r="K673" s="82" t="s">
        <v>2151</v>
      </c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22"/>
      <c r="B674" s="122"/>
      <c r="C674" s="122"/>
      <c r="D674" s="122"/>
      <c r="E674" s="122"/>
      <c r="F674" s="122"/>
      <c r="G674" s="123"/>
      <c r="H674" s="122"/>
      <c r="I674" s="17"/>
      <c r="J674" s="19"/>
      <c r="K674" s="82" t="s">
        <v>2154</v>
      </c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22"/>
      <c r="B675" s="122"/>
      <c r="C675" s="122"/>
      <c r="D675" s="122"/>
      <c r="E675" s="122"/>
      <c r="F675" s="122"/>
      <c r="G675" s="123"/>
      <c r="H675" s="122"/>
      <c r="I675" s="17"/>
      <c r="J675" s="19"/>
      <c r="K675" s="82" t="s">
        <v>2157</v>
      </c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22"/>
      <c r="B676" s="122"/>
      <c r="C676" s="122"/>
      <c r="D676" s="122"/>
      <c r="E676" s="122"/>
      <c r="F676" s="122"/>
      <c r="G676" s="123"/>
      <c r="H676" s="122"/>
      <c r="I676" s="17"/>
      <c r="J676" s="19"/>
      <c r="K676" s="82" t="s">
        <v>2160</v>
      </c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22"/>
      <c r="B677" s="122"/>
      <c r="C677" s="122"/>
      <c r="D677" s="122"/>
      <c r="E677" s="122"/>
      <c r="F677" s="122"/>
      <c r="G677" s="123"/>
      <c r="H677" s="122"/>
      <c r="I677" s="17"/>
      <c r="J677" s="19"/>
      <c r="K677" s="82" t="s">
        <v>2163</v>
      </c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22"/>
      <c r="B678" s="122"/>
      <c r="C678" s="122"/>
      <c r="D678" s="122"/>
      <c r="E678" s="122"/>
      <c r="F678" s="122"/>
      <c r="G678" s="123"/>
      <c r="H678" s="122"/>
      <c r="I678" s="17"/>
      <c r="J678" s="19"/>
      <c r="K678" s="82" t="s">
        <v>2164</v>
      </c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22"/>
      <c r="B679" s="122"/>
      <c r="C679" s="122"/>
      <c r="D679" s="122"/>
      <c r="E679" s="122"/>
      <c r="F679" s="122"/>
      <c r="G679" s="123"/>
      <c r="H679" s="122"/>
      <c r="I679" s="17"/>
      <c r="J679" s="19"/>
      <c r="K679" s="82" t="s">
        <v>2167</v>
      </c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22"/>
      <c r="B680" s="122"/>
      <c r="C680" s="122"/>
      <c r="D680" s="122"/>
      <c r="E680" s="122"/>
      <c r="F680" s="122"/>
      <c r="G680" s="123"/>
      <c r="H680" s="122"/>
      <c r="I680" s="17"/>
      <c r="J680" s="19"/>
      <c r="K680" s="82" t="s">
        <v>2169</v>
      </c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22"/>
      <c r="B681" s="122"/>
      <c r="C681" s="122"/>
      <c r="D681" s="122"/>
      <c r="E681" s="122"/>
      <c r="F681" s="122"/>
      <c r="G681" s="123"/>
      <c r="H681" s="122"/>
      <c r="I681" s="17"/>
      <c r="J681" s="19"/>
      <c r="K681" s="82" t="s">
        <v>2172</v>
      </c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22"/>
      <c r="B682" s="122"/>
      <c r="C682" s="122"/>
      <c r="D682" s="122"/>
      <c r="E682" s="122"/>
      <c r="F682" s="122"/>
      <c r="G682" s="123"/>
      <c r="H682" s="122"/>
      <c r="I682" s="17"/>
      <c r="J682" s="19"/>
      <c r="K682" s="82" t="s">
        <v>2175</v>
      </c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22"/>
      <c r="B683" s="122"/>
      <c r="C683" s="122"/>
      <c r="D683" s="122"/>
      <c r="E683" s="122"/>
      <c r="F683" s="122"/>
      <c r="G683" s="123"/>
      <c r="H683" s="122"/>
      <c r="I683" s="17"/>
      <c r="J683" s="19"/>
      <c r="K683" s="82" t="s">
        <v>2178</v>
      </c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22"/>
      <c r="B684" s="122"/>
      <c r="C684" s="122"/>
      <c r="D684" s="122"/>
      <c r="E684" s="122"/>
      <c r="F684" s="122"/>
      <c r="G684" s="123"/>
      <c r="H684" s="122"/>
      <c r="I684" s="17"/>
      <c r="J684" s="19"/>
      <c r="K684" s="82" t="s">
        <v>2181</v>
      </c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22"/>
      <c r="B685" s="122"/>
      <c r="C685" s="122"/>
      <c r="D685" s="122"/>
      <c r="E685" s="122"/>
      <c r="F685" s="122"/>
      <c r="G685" s="123"/>
      <c r="H685" s="122"/>
      <c r="I685" s="17"/>
      <c r="J685" s="19"/>
      <c r="K685" s="82" t="s">
        <v>2184</v>
      </c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22"/>
      <c r="B686" s="122"/>
      <c r="C686" s="122"/>
      <c r="D686" s="122"/>
      <c r="E686" s="122"/>
      <c r="F686" s="122"/>
      <c r="G686" s="123"/>
      <c r="H686" s="122"/>
      <c r="I686" s="17"/>
      <c r="J686" s="19"/>
      <c r="K686" s="82" t="s">
        <v>2187</v>
      </c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22"/>
      <c r="B687" s="122"/>
      <c r="C687" s="122"/>
      <c r="D687" s="122"/>
      <c r="E687" s="122"/>
      <c r="F687" s="122"/>
      <c r="G687" s="123"/>
      <c r="H687" s="122"/>
      <c r="I687" s="17"/>
      <c r="J687" s="19"/>
      <c r="K687" s="82" t="s">
        <v>2190</v>
      </c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22"/>
      <c r="B688" s="122"/>
      <c r="C688" s="122"/>
      <c r="D688" s="122"/>
      <c r="E688" s="122"/>
      <c r="F688" s="122"/>
      <c r="G688" s="123"/>
      <c r="H688" s="122"/>
      <c r="I688" s="17"/>
      <c r="J688" s="19"/>
      <c r="K688" s="82" t="s">
        <v>2193</v>
      </c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22"/>
      <c r="B689" s="122"/>
      <c r="C689" s="122"/>
      <c r="D689" s="122"/>
      <c r="E689" s="122"/>
      <c r="F689" s="122"/>
      <c r="G689" s="123"/>
      <c r="H689" s="122"/>
      <c r="I689" s="17"/>
      <c r="J689" s="19"/>
      <c r="K689" s="82" t="s">
        <v>2196</v>
      </c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22"/>
      <c r="B690" s="122"/>
      <c r="C690" s="122"/>
      <c r="D690" s="122"/>
      <c r="E690" s="122"/>
      <c r="F690" s="122"/>
      <c r="G690" s="123"/>
      <c r="H690" s="122"/>
      <c r="I690" s="17"/>
      <c r="J690" s="19"/>
      <c r="K690" s="82" t="s">
        <v>2199</v>
      </c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22"/>
      <c r="B691" s="122"/>
      <c r="C691" s="122"/>
      <c r="D691" s="122"/>
      <c r="E691" s="122"/>
      <c r="F691" s="122"/>
      <c r="G691" s="123"/>
      <c r="H691" s="122"/>
      <c r="I691" s="17"/>
      <c r="J691" s="19"/>
      <c r="K691" s="82" t="s">
        <v>2203</v>
      </c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22"/>
      <c r="B692" s="122"/>
      <c r="C692" s="122"/>
      <c r="D692" s="122"/>
      <c r="E692" s="122"/>
      <c r="F692" s="122"/>
      <c r="G692" s="123"/>
      <c r="H692" s="122"/>
      <c r="I692" s="17"/>
      <c r="J692" s="19"/>
      <c r="K692" s="82" t="s">
        <v>2207</v>
      </c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22"/>
      <c r="B693" s="122"/>
      <c r="C693" s="122"/>
      <c r="D693" s="122"/>
      <c r="E693" s="122"/>
      <c r="F693" s="122"/>
      <c r="G693" s="123"/>
      <c r="H693" s="122"/>
      <c r="I693" s="17"/>
      <c r="J693" s="19"/>
      <c r="K693" s="82" t="s">
        <v>2210</v>
      </c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22"/>
      <c r="B694" s="122"/>
      <c r="C694" s="122"/>
      <c r="D694" s="122"/>
      <c r="E694" s="122"/>
      <c r="F694" s="122"/>
      <c r="G694" s="123"/>
      <c r="H694" s="122"/>
      <c r="I694" s="17"/>
      <c r="J694" s="19"/>
      <c r="K694" s="82" t="s">
        <v>2215</v>
      </c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22"/>
      <c r="B695" s="122"/>
      <c r="C695" s="122"/>
      <c r="D695" s="122"/>
      <c r="E695" s="122"/>
      <c r="F695" s="122"/>
      <c r="G695" s="123"/>
      <c r="H695" s="122"/>
      <c r="I695" s="17"/>
      <c r="J695" s="19"/>
      <c r="K695" s="82" t="s">
        <v>2220</v>
      </c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22"/>
      <c r="B696" s="122"/>
      <c r="C696" s="122"/>
      <c r="D696" s="122"/>
      <c r="E696" s="122"/>
      <c r="F696" s="122"/>
      <c r="G696" s="123"/>
      <c r="H696" s="122"/>
      <c r="I696" s="17"/>
      <c r="J696" s="19"/>
      <c r="K696" s="82" t="s">
        <v>2223</v>
      </c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22"/>
      <c r="B697" s="122"/>
      <c r="C697" s="122"/>
      <c r="D697" s="122"/>
      <c r="E697" s="122"/>
      <c r="F697" s="122"/>
      <c r="G697" s="123"/>
      <c r="H697" s="122"/>
      <c r="I697" s="17"/>
      <c r="J697" s="19"/>
      <c r="K697" s="82" t="s">
        <v>2228</v>
      </c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22"/>
      <c r="B698" s="122"/>
      <c r="C698" s="122"/>
      <c r="D698" s="122"/>
      <c r="E698" s="122"/>
      <c r="F698" s="122"/>
      <c r="G698" s="123"/>
      <c r="H698" s="122"/>
      <c r="I698" s="17"/>
      <c r="J698" s="19"/>
      <c r="K698" s="82" t="s">
        <v>2230</v>
      </c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22"/>
      <c r="B699" s="122"/>
      <c r="C699" s="122"/>
      <c r="D699" s="122"/>
      <c r="E699" s="122"/>
      <c r="F699" s="122"/>
      <c r="G699" s="123"/>
      <c r="H699" s="122"/>
      <c r="I699" s="17"/>
      <c r="J699" s="19"/>
      <c r="K699" s="82" t="s">
        <v>2233</v>
      </c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22"/>
      <c r="B700" s="122"/>
      <c r="C700" s="122"/>
      <c r="D700" s="122"/>
      <c r="E700" s="122"/>
      <c r="F700" s="122"/>
      <c r="G700" s="123"/>
      <c r="H700" s="122"/>
      <c r="I700" s="17"/>
      <c r="J700" s="19"/>
      <c r="K700" s="82" t="s">
        <v>2236</v>
      </c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22"/>
      <c r="B701" s="122"/>
      <c r="C701" s="122"/>
      <c r="D701" s="122"/>
      <c r="E701" s="122"/>
      <c r="F701" s="122"/>
      <c r="G701" s="123"/>
      <c r="H701" s="122"/>
      <c r="I701" s="17"/>
      <c r="J701" s="19"/>
      <c r="K701" s="82" t="s">
        <v>2241</v>
      </c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22"/>
      <c r="B702" s="122"/>
      <c r="C702" s="122"/>
      <c r="D702" s="122"/>
      <c r="E702" s="122"/>
      <c r="F702" s="122"/>
      <c r="G702" s="123"/>
      <c r="H702" s="122"/>
      <c r="I702" s="17"/>
      <c r="J702" s="19"/>
      <c r="K702" s="82" t="s">
        <v>2244</v>
      </c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22"/>
      <c r="B703" s="122"/>
      <c r="C703" s="122"/>
      <c r="D703" s="122"/>
      <c r="E703" s="122"/>
      <c r="F703" s="122"/>
      <c r="G703" s="123"/>
      <c r="H703" s="122"/>
      <c r="I703" s="17"/>
      <c r="J703" s="19"/>
      <c r="K703" s="82" t="s">
        <v>2247</v>
      </c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22"/>
      <c r="B704" s="122"/>
      <c r="C704" s="122"/>
      <c r="D704" s="122"/>
      <c r="E704" s="122"/>
      <c r="F704" s="122"/>
      <c r="G704" s="123"/>
      <c r="H704" s="122"/>
      <c r="I704" s="17"/>
      <c r="J704" s="19"/>
      <c r="K704" s="82" t="s">
        <v>2250</v>
      </c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22"/>
      <c r="B705" s="122"/>
      <c r="C705" s="122"/>
      <c r="D705" s="122"/>
      <c r="E705" s="122"/>
      <c r="F705" s="122"/>
      <c r="G705" s="123"/>
      <c r="H705" s="122"/>
      <c r="I705" s="17"/>
      <c r="J705" s="19"/>
      <c r="K705" s="82" t="s">
        <v>2253</v>
      </c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22"/>
      <c r="B706" s="122"/>
      <c r="C706" s="122"/>
      <c r="D706" s="122"/>
      <c r="E706" s="122"/>
      <c r="F706" s="122"/>
      <c r="G706" s="123"/>
      <c r="H706" s="122"/>
      <c r="I706" s="17"/>
      <c r="J706" s="19"/>
      <c r="K706" s="82" t="s">
        <v>2256</v>
      </c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22"/>
      <c r="B707" s="122"/>
      <c r="C707" s="122"/>
      <c r="D707" s="122"/>
      <c r="E707" s="122"/>
      <c r="F707" s="122"/>
      <c r="G707" s="123"/>
      <c r="H707" s="122"/>
      <c r="I707" s="17"/>
      <c r="J707" s="19"/>
      <c r="K707" s="82" t="s">
        <v>2259</v>
      </c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22"/>
      <c r="B708" s="122"/>
      <c r="C708" s="122"/>
      <c r="D708" s="122"/>
      <c r="E708" s="122"/>
      <c r="F708" s="122"/>
      <c r="G708" s="123"/>
      <c r="H708" s="122"/>
      <c r="I708" s="17"/>
      <c r="J708" s="19"/>
      <c r="K708" s="82" t="s">
        <v>2264</v>
      </c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22"/>
      <c r="B709" s="122"/>
      <c r="C709" s="122"/>
      <c r="D709" s="122"/>
      <c r="E709" s="122"/>
      <c r="F709" s="122"/>
      <c r="G709" s="123"/>
      <c r="H709" s="122"/>
      <c r="I709" s="17"/>
      <c r="J709" s="19"/>
      <c r="K709" s="82" t="s">
        <v>2267</v>
      </c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22"/>
      <c r="B710" s="122"/>
      <c r="C710" s="122"/>
      <c r="D710" s="122"/>
      <c r="E710" s="122"/>
      <c r="F710" s="122"/>
      <c r="G710" s="123"/>
      <c r="H710" s="122"/>
      <c r="I710" s="17"/>
      <c r="J710" s="19"/>
      <c r="K710" s="82" t="s">
        <v>2272</v>
      </c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22"/>
      <c r="B711" s="122"/>
      <c r="C711" s="122"/>
      <c r="D711" s="122"/>
      <c r="E711" s="122"/>
      <c r="F711" s="122"/>
      <c r="G711" s="123"/>
      <c r="H711" s="122"/>
      <c r="I711" s="17"/>
      <c r="J711" s="19"/>
      <c r="K711" s="82" t="s">
        <v>2276</v>
      </c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22"/>
      <c r="B712" s="122"/>
      <c r="C712" s="122"/>
      <c r="D712" s="122"/>
      <c r="E712" s="122"/>
      <c r="F712" s="122"/>
      <c r="G712" s="123"/>
      <c r="H712" s="122"/>
      <c r="I712" s="17"/>
      <c r="J712" s="19"/>
      <c r="K712" s="82" t="s">
        <v>2280</v>
      </c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22"/>
      <c r="B713" s="122"/>
      <c r="C713" s="122"/>
      <c r="D713" s="122"/>
      <c r="E713" s="122"/>
      <c r="F713" s="122"/>
      <c r="G713" s="123"/>
      <c r="H713" s="122"/>
      <c r="I713" s="17"/>
      <c r="J713" s="19"/>
      <c r="K713" s="82" t="s">
        <v>2283</v>
      </c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22"/>
      <c r="B714" s="122"/>
      <c r="C714" s="122"/>
      <c r="D714" s="122"/>
      <c r="E714" s="122"/>
      <c r="F714" s="122"/>
      <c r="G714" s="123"/>
      <c r="H714" s="122"/>
      <c r="I714" s="17"/>
      <c r="J714" s="19"/>
      <c r="K714" s="82" t="s">
        <v>2286</v>
      </c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22"/>
      <c r="B715" s="122"/>
      <c r="C715" s="122"/>
      <c r="D715" s="122"/>
      <c r="E715" s="122"/>
      <c r="F715" s="122"/>
      <c r="G715" s="123"/>
      <c r="H715" s="122"/>
      <c r="I715" s="17"/>
      <c r="J715" s="19"/>
      <c r="K715" s="82" t="s">
        <v>2289</v>
      </c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22"/>
      <c r="B716" s="122"/>
      <c r="C716" s="122"/>
      <c r="D716" s="122"/>
      <c r="E716" s="122"/>
      <c r="F716" s="122"/>
      <c r="G716" s="123"/>
      <c r="H716" s="122"/>
      <c r="I716" s="17"/>
      <c r="J716" s="19"/>
      <c r="K716" s="82" t="s">
        <v>2292</v>
      </c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22"/>
      <c r="B717" s="122"/>
      <c r="C717" s="122"/>
      <c r="D717" s="122"/>
      <c r="E717" s="122"/>
      <c r="F717" s="122"/>
      <c r="G717" s="123"/>
      <c r="H717" s="122"/>
      <c r="I717" s="17"/>
      <c r="J717" s="19"/>
      <c r="K717" s="82" t="s">
        <v>2295</v>
      </c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22"/>
      <c r="B718" s="122"/>
      <c r="C718" s="122"/>
      <c r="D718" s="122"/>
      <c r="E718" s="122"/>
      <c r="F718" s="122"/>
      <c r="G718" s="123"/>
      <c r="H718" s="122"/>
      <c r="I718" s="17"/>
      <c r="J718" s="19"/>
      <c r="K718" s="82" t="s">
        <v>2300</v>
      </c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22"/>
      <c r="B719" s="122"/>
      <c r="C719" s="122"/>
      <c r="D719" s="122"/>
      <c r="E719" s="122"/>
      <c r="F719" s="122"/>
      <c r="G719" s="123"/>
      <c r="H719" s="122"/>
      <c r="I719" s="17"/>
      <c r="J719" s="19"/>
      <c r="K719" s="82" t="s">
        <v>2303</v>
      </c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22"/>
      <c r="B720" s="122"/>
      <c r="C720" s="122"/>
      <c r="D720" s="122"/>
      <c r="E720" s="122"/>
      <c r="F720" s="122"/>
      <c r="G720" s="123"/>
      <c r="H720" s="122"/>
      <c r="I720" s="17"/>
      <c r="J720" s="19"/>
      <c r="K720" s="82" t="s">
        <v>2306</v>
      </c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22"/>
      <c r="B721" s="122"/>
      <c r="C721" s="122"/>
      <c r="D721" s="122"/>
      <c r="E721" s="122"/>
      <c r="F721" s="122"/>
      <c r="G721" s="123"/>
      <c r="H721" s="122"/>
      <c r="I721" s="17"/>
      <c r="J721" s="19"/>
      <c r="K721" s="82" t="s">
        <v>2309</v>
      </c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22"/>
      <c r="B722" s="122"/>
      <c r="C722" s="122"/>
      <c r="D722" s="122"/>
      <c r="E722" s="122"/>
      <c r="F722" s="122"/>
      <c r="G722" s="123"/>
      <c r="H722" s="122"/>
      <c r="I722" s="17"/>
      <c r="J722" s="19"/>
      <c r="K722" s="82" t="s">
        <v>2312</v>
      </c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22"/>
      <c r="B723" s="122"/>
      <c r="C723" s="122"/>
      <c r="D723" s="122"/>
      <c r="E723" s="122"/>
      <c r="F723" s="122"/>
      <c r="G723" s="123"/>
      <c r="H723" s="122"/>
      <c r="I723" s="17"/>
      <c r="J723" s="19"/>
      <c r="K723" s="82" t="s">
        <v>2315</v>
      </c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22"/>
      <c r="B724" s="122"/>
      <c r="C724" s="122"/>
      <c r="D724" s="122"/>
      <c r="E724" s="122"/>
      <c r="F724" s="122"/>
      <c r="G724" s="123"/>
      <c r="H724" s="122"/>
      <c r="I724" s="17"/>
      <c r="J724" s="19"/>
      <c r="K724" s="82" t="s">
        <v>2316</v>
      </c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22"/>
      <c r="B725" s="122"/>
      <c r="C725" s="122"/>
      <c r="D725" s="122"/>
      <c r="E725" s="122"/>
      <c r="F725" s="122"/>
      <c r="G725" s="123"/>
      <c r="H725" s="122"/>
      <c r="I725" s="17"/>
      <c r="J725" s="19"/>
      <c r="K725" s="82" t="s">
        <v>2319</v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22"/>
      <c r="B726" s="122"/>
      <c r="C726" s="122"/>
      <c r="D726" s="122"/>
      <c r="E726" s="122"/>
      <c r="F726" s="122"/>
      <c r="G726" s="123"/>
      <c r="H726" s="122"/>
      <c r="I726" s="17"/>
      <c r="J726" s="19"/>
      <c r="K726" s="82" t="s">
        <v>2322</v>
      </c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22"/>
      <c r="B727" s="122"/>
      <c r="C727" s="122"/>
      <c r="D727" s="122"/>
      <c r="E727" s="122"/>
      <c r="F727" s="122"/>
      <c r="G727" s="123"/>
      <c r="H727" s="122"/>
      <c r="I727" s="17"/>
      <c r="J727" s="19"/>
      <c r="K727" s="82" t="s">
        <v>2323</v>
      </c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22"/>
      <c r="B728" s="122"/>
      <c r="C728" s="122"/>
      <c r="D728" s="122"/>
      <c r="E728" s="122"/>
      <c r="F728" s="122"/>
      <c r="G728" s="123"/>
      <c r="H728" s="122"/>
      <c r="I728" s="17"/>
      <c r="J728" s="19"/>
      <c r="K728" s="82" t="s">
        <v>2328</v>
      </c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22"/>
      <c r="B729" s="122"/>
      <c r="C729" s="122"/>
      <c r="D729" s="122"/>
      <c r="E729" s="122"/>
      <c r="F729" s="122"/>
      <c r="G729" s="123"/>
      <c r="H729" s="122"/>
      <c r="I729" s="17"/>
      <c r="J729" s="19"/>
      <c r="K729" s="82" t="s">
        <v>2331</v>
      </c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22"/>
      <c r="B730" s="122"/>
      <c r="C730" s="122"/>
      <c r="D730" s="122"/>
      <c r="E730" s="122"/>
      <c r="F730" s="122"/>
      <c r="G730" s="123"/>
      <c r="H730" s="122"/>
      <c r="I730" s="17"/>
      <c r="J730" s="19"/>
      <c r="K730" s="82" t="s">
        <v>2336</v>
      </c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22"/>
      <c r="B731" s="122"/>
      <c r="C731" s="122"/>
      <c r="D731" s="122"/>
      <c r="E731" s="122"/>
      <c r="F731" s="122"/>
      <c r="G731" s="123"/>
      <c r="H731" s="122"/>
      <c r="I731" s="17"/>
      <c r="J731" s="19"/>
      <c r="K731" s="82" t="s">
        <v>2339</v>
      </c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22"/>
      <c r="B732" s="122"/>
      <c r="C732" s="122"/>
      <c r="D732" s="122"/>
      <c r="E732" s="122"/>
      <c r="F732" s="122"/>
      <c r="G732" s="123"/>
      <c r="H732" s="122"/>
      <c r="I732" s="17"/>
      <c r="J732" s="19"/>
      <c r="K732" s="82" t="s">
        <v>2342</v>
      </c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22"/>
      <c r="B733" s="122"/>
      <c r="C733" s="122"/>
      <c r="D733" s="122"/>
      <c r="E733" s="122"/>
      <c r="F733" s="122"/>
      <c r="G733" s="123"/>
      <c r="H733" s="122"/>
      <c r="I733" s="17"/>
      <c r="J733" s="19"/>
      <c r="K733" s="82" t="s">
        <v>2345</v>
      </c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22"/>
      <c r="B734" s="122"/>
      <c r="C734" s="122"/>
      <c r="D734" s="122"/>
      <c r="E734" s="122"/>
      <c r="F734" s="122"/>
      <c r="G734" s="123"/>
      <c r="H734" s="122"/>
      <c r="I734" s="17"/>
      <c r="J734" s="19"/>
      <c r="K734" s="82" t="s">
        <v>2348</v>
      </c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22"/>
      <c r="B735" s="122"/>
      <c r="C735" s="122"/>
      <c r="D735" s="122"/>
      <c r="E735" s="122"/>
      <c r="F735" s="122"/>
      <c r="G735" s="123"/>
      <c r="H735" s="122"/>
      <c r="I735" s="17"/>
      <c r="J735" s="19"/>
      <c r="K735" s="82" t="s">
        <v>2349</v>
      </c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22"/>
      <c r="B736" s="122"/>
      <c r="C736" s="122"/>
      <c r="D736" s="122"/>
      <c r="E736" s="122"/>
      <c r="F736" s="122"/>
      <c r="G736" s="123"/>
      <c r="H736" s="122"/>
      <c r="I736" s="17"/>
      <c r="J736" s="19"/>
      <c r="K736" s="82" t="s">
        <v>2352</v>
      </c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22"/>
      <c r="B737" s="122"/>
      <c r="C737" s="122"/>
      <c r="D737" s="122"/>
      <c r="E737" s="122"/>
      <c r="F737" s="122"/>
      <c r="G737" s="123"/>
      <c r="H737" s="122"/>
      <c r="I737" s="17"/>
      <c r="J737" s="19"/>
      <c r="K737" s="82" t="s">
        <v>2355</v>
      </c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22"/>
      <c r="B738" s="122"/>
      <c r="C738" s="122"/>
      <c r="D738" s="122"/>
      <c r="E738" s="122"/>
      <c r="F738" s="122"/>
      <c r="G738" s="123"/>
      <c r="H738" s="122"/>
      <c r="I738" s="17"/>
      <c r="J738" s="19"/>
      <c r="K738" s="82" t="s">
        <v>2358</v>
      </c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22"/>
      <c r="B739" s="122"/>
      <c r="C739" s="122"/>
      <c r="D739" s="122"/>
      <c r="E739" s="122"/>
      <c r="F739" s="122"/>
      <c r="G739" s="123"/>
      <c r="H739" s="122"/>
      <c r="I739" s="17"/>
      <c r="J739" s="19"/>
      <c r="K739" s="82" t="s">
        <v>2363</v>
      </c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22"/>
      <c r="B740" s="122"/>
      <c r="C740" s="122"/>
      <c r="D740" s="122"/>
      <c r="E740" s="122"/>
      <c r="F740" s="122"/>
      <c r="G740" s="123"/>
      <c r="H740" s="122"/>
      <c r="I740" s="17"/>
      <c r="J740" s="19"/>
      <c r="K740" s="82" t="s">
        <v>2366</v>
      </c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22"/>
      <c r="B741" s="122"/>
      <c r="C741" s="122"/>
      <c r="D741" s="122"/>
      <c r="E741" s="122"/>
      <c r="F741" s="122"/>
      <c r="G741" s="123"/>
      <c r="H741" s="122"/>
      <c r="I741" s="17"/>
      <c r="J741" s="19"/>
      <c r="K741" s="82" t="s">
        <v>2371</v>
      </c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22"/>
      <c r="B742" s="122"/>
      <c r="C742" s="122"/>
      <c r="D742" s="122"/>
      <c r="E742" s="122"/>
      <c r="F742" s="122"/>
      <c r="G742" s="123"/>
      <c r="H742" s="122"/>
      <c r="I742" s="17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22"/>
      <c r="B743" s="122"/>
      <c r="C743" s="122"/>
      <c r="D743" s="122"/>
      <c r="E743" s="122"/>
      <c r="F743" s="122"/>
      <c r="G743" s="123"/>
      <c r="H743" s="122"/>
      <c r="I743" s="17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22"/>
      <c r="B744" s="122"/>
      <c r="C744" s="122"/>
      <c r="D744" s="122"/>
      <c r="E744" s="122"/>
      <c r="F744" s="122"/>
      <c r="G744" s="123"/>
      <c r="H744" s="122"/>
      <c r="I744" s="17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22"/>
      <c r="B745" s="122"/>
      <c r="C745" s="122"/>
      <c r="D745" s="122"/>
      <c r="E745" s="122"/>
      <c r="F745" s="122"/>
      <c r="G745" s="123"/>
      <c r="H745" s="122"/>
      <c r="I745" s="17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22"/>
      <c r="B746" s="122"/>
      <c r="C746" s="122"/>
      <c r="D746" s="122"/>
      <c r="E746" s="122"/>
      <c r="F746" s="122"/>
      <c r="G746" s="123"/>
      <c r="H746" s="122"/>
      <c r="I746" s="17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22"/>
      <c r="B747" s="122"/>
      <c r="C747" s="122"/>
      <c r="D747" s="122"/>
      <c r="E747" s="122"/>
      <c r="F747" s="122"/>
      <c r="G747" s="123"/>
      <c r="H747" s="122"/>
      <c r="I747" s="17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22"/>
      <c r="B748" s="122"/>
      <c r="C748" s="122"/>
      <c r="D748" s="122"/>
      <c r="E748" s="122"/>
      <c r="F748" s="122"/>
      <c r="G748" s="123"/>
      <c r="H748" s="122"/>
      <c r="I748" s="17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22"/>
      <c r="B749" s="122"/>
      <c r="C749" s="122"/>
      <c r="D749" s="122"/>
      <c r="E749" s="122"/>
      <c r="F749" s="122"/>
      <c r="G749" s="123"/>
      <c r="H749" s="122"/>
      <c r="I749" s="17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22"/>
      <c r="B750" s="122"/>
      <c r="C750" s="122"/>
      <c r="D750" s="122"/>
      <c r="E750" s="122"/>
      <c r="F750" s="122"/>
      <c r="G750" s="123"/>
      <c r="H750" s="122"/>
      <c r="I750" s="17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22"/>
      <c r="B751" s="122"/>
      <c r="C751" s="122"/>
      <c r="D751" s="122"/>
      <c r="E751" s="122"/>
      <c r="F751" s="122"/>
      <c r="G751" s="123"/>
      <c r="H751" s="122"/>
      <c r="I751" s="17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22"/>
      <c r="B752" s="122"/>
      <c r="C752" s="122"/>
      <c r="D752" s="122"/>
      <c r="E752" s="122"/>
      <c r="F752" s="122"/>
      <c r="G752" s="123"/>
      <c r="H752" s="122"/>
      <c r="I752" s="17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22"/>
      <c r="B753" s="122"/>
      <c r="C753" s="122"/>
      <c r="D753" s="122"/>
      <c r="E753" s="122"/>
      <c r="F753" s="122"/>
      <c r="G753" s="123"/>
      <c r="H753" s="122"/>
      <c r="I753" s="17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22"/>
      <c r="B754" s="122"/>
      <c r="C754" s="122"/>
      <c r="D754" s="122"/>
      <c r="E754" s="122"/>
      <c r="F754" s="122"/>
      <c r="G754" s="123"/>
      <c r="H754" s="122"/>
      <c r="I754" s="17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22"/>
      <c r="B755" s="122"/>
      <c r="C755" s="122"/>
      <c r="D755" s="122"/>
      <c r="E755" s="122"/>
      <c r="F755" s="122"/>
      <c r="G755" s="123"/>
      <c r="H755" s="122"/>
      <c r="I755" s="17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22"/>
      <c r="B756" s="122"/>
      <c r="C756" s="122"/>
      <c r="D756" s="122"/>
      <c r="E756" s="122"/>
      <c r="F756" s="122"/>
      <c r="G756" s="123"/>
      <c r="H756" s="122"/>
      <c r="I756" s="17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22"/>
      <c r="B757" s="122"/>
      <c r="C757" s="122"/>
      <c r="D757" s="122"/>
      <c r="E757" s="122"/>
      <c r="F757" s="122"/>
      <c r="G757" s="123"/>
      <c r="H757" s="122"/>
      <c r="I757" s="17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22"/>
      <c r="B758" s="122"/>
      <c r="C758" s="122"/>
      <c r="D758" s="122"/>
      <c r="E758" s="122"/>
      <c r="F758" s="122"/>
      <c r="G758" s="123"/>
      <c r="H758" s="122"/>
      <c r="I758" s="17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22"/>
      <c r="B759" s="122"/>
      <c r="C759" s="122"/>
      <c r="D759" s="122"/>
      <c r="E759" s="122"/>
      <c r="F759" s="122"/>
      <c r="G759" s="123"/>
      <c r="H759" s="122"/>
      <c r="I759" s="17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22"/>
      <c r="B760" s="122"/>
      <c r="C760" s="122"/>
      <c r="D760" s="122"/>
      <c r="E760" s="122"/>
      <c r="F760" s="122"/>
      <c r="G760" s="123"/>
      <c r="H760" s="122"/>
      <c r="I760" s="17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22"/>
      <c r="B761" s="122"/>
      <c r="C761" s="122"/>
      <c r="D761" s="122"/>
      <c r="E761" s="122"/>
      <c r="F761" s="122"/>
      <c r="G761" s="123"/>
      <c r="H761" s="122"/>
      <c r="I761" s="17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22"/>
      <c r="B762" s="122"/>
      <c r="C762" s="122"/>
      <c r="D762" s="122"/>
      <c r="E762" s="122"/>
      <c r="F762" s="122"/>
      <c r="G762" s="123"/>
      <c r="H762" s="122"/>
      <c r="I762" s="17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22"/>
      <c r="B763" s="122"/>
      <c r="C763" s="122"/>
      <c r="D763" s="122"/>
      <c r="E763" s="122"/>
      <c r="F763" s="122"/>
      <c r="G763" s="123"/>
      <c r="H763" s="122"/>
      <c r="I763" s="17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22"/>
      <c r="B764" s="122"/>
      <c r="C764" s="122"/>
      <c r="D764" s="122"/>
      <c r="E764" s="122"/>
      <c r="F764" s="122"/>
      <c r="G764" s="123"/>
      <c r="H764" s="122"/>
      <c r="I764" s="17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22"/>
      <c r="B765" s="122"/>
      <c r="C765" s="122"/>
      <c r="D765" s="122"/>
      <c r="E765" s="122"/>
      <c r="F765" s="122"/>
      <c r="G765" s="123"/>
      <c r="H765" s="122"/>
      <c r="I765" s="17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22"/>
      <c r="B766" s="122"/>
      <c r="C766" s="122"/>
      <c r="D766" s="122"/>
      <c r="E766" s="122"/>
      <c r="F766" s="122"/>
      <c r="G766" s="123"/>
      <c r="H766" s="122"/>
      <c r="I766" s="17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22"/>
      <c r="B767" s="122"/>
      <c r="C767" s="122"/>
      <c r="D767" s="122"/>
      <c r="E767" s="122"/>
      <c r="F767" s="122"/>
      <c r="G767" s="123"/>
      <c r="H767" s="122"/>
      <c r="I767" s="17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22"/>
      <c r="B768" s="122"/>
      <c r="C768" s="122"/>
      <c r="D768" s="122"/>
      <c r="E768" s="122"/>
      <c r="F768" s="122"/>
      <c r="G768" s="123"/>
      <c r="H768" s="122"/>
      <c r="I768" s="17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22"/>
      <c r="B769" s="122"/>
      <c r="C769" s="122"/>
      <c r="D769" s="122"/>
      <c r="E769" s="122"/>
      <c r="F769" s="122"/>
      <c r="G769" s="123"/>
      <c r="H769" s="122"/>
      <c r="I769" s="17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22"/>
      <c r="B770" s="122"/>
      <c r="C770" s="122"/>
      <c r="D770" s="122"/>
      <c r="E770" s="122"/>
      <c r="F770" s="122"/>
      <c r="G770" s="123"/>
      <c r="H770" s="122"/>
      <c r="I770" s="17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22"/>
      <c r="B771" s="122"/>
      <c r="C771" s="122"/>
      <c r="D771" s="122"/>
      <c r="E771" s="122"/>
      <c r="F771" s="122"/>
      <c r="G771" s="123"/>
      <c r="H771" s="122"/>
      <c r="I771" s="17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22"/>
      <c r="B772" s="122"/>
      <c r="C772" s="122"/>
      <c r="D772" s="122"/>
      <c r="E772" s="122"/>
      <c r="F772" s="122"/>
      <c r="G772" s="123"/>
      <c r="H772" s="122"/>
      <c r="I772" s="17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22"/>
      <c r="B773" s="122"/>
      <c r="C773" s="122"/>
      <c r="D773" s="122"/>
      <c r="E773" s="122"/>
      <c r="F773" s="122"/>
      <c r="G773" s="123"/>
      <c r="H773" s="122"/>
      <c r="I773" s="17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22"/>
      <c r="B774" s="122"/>
      <c r="C774" s="122"/>
      <c r="D774" s="122"/>
      <c r="E774" s="122"/>
      <c r="F774" s="122"/>
      <c r="G774" s="123"/>
      <c r="H774" s="122"/>
      <c r="I774" s="17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22"/>
      <c r="B775" s="122"/>
      <c r="C775" s="122"/>
      <c r="D775" s="122"/>
      <c r="E775" s="122"/>
      <c r="F775" s="122"/>
      <c r="G775" s="123"/>
      <c r="H775" s="122"/>
      <c r="I775" s="17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22"/>
      <c r="B776" s="122"/>
      <c r="C776" s="122"/>
      <c r="D776" s="122"/>
      <c r="E776" s="122"/>
      <c r="F776" s="122"/>
      <c r="G776" s="123"/>
      <c r="H776" s="122"/>
      <c r="I776" s="17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22"/>
      <c r="B777" s="122"/>
      <c r="C777" s="122"/>
      <c r="D777" s="122"/>
      <c r="E777" s="122"/>
      <c r="F777" s="122"/>
      <c r="G777" s="123"/>
      <c r="H777" s="122"/>
      <c r="I777" s="17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22"/>
      <c r="B778" s="122"/>
      <c r="C778" s="122"/>
      <c r="D778" s="122"/>
      <c r="E778" s="122"/>
      <c r="F778" s="122"/>
      <c r="G778" s="123"/>
      <c r="H778" s="122"/>
      <c r="I778" s="17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22"/>
      <c r="B779" s="122"/>
      <c r="C779" s="122"/>
      <c r="D779" s="122"/>
      <c r="E779" s="122"/>
      <c r="F779" s="122"/>
      <c r="G779" s="123"/>
      <c r="H779" s="122"/>
      <c r="I779" s="17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22"/>
      <c r="B780" s="122"/>
      <c r="C780" s="122"/>
      <c r="D780" s="122"/>
      <c r="E780" s="122"/>
      <c r="F780" s="122"/>
      <c r="G780" s="123"/>
      <c r="H780" s="122"/>
      <c r="I780" s="17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22"/>
      <c r="B781" s="122"/>
      <c r="C781" s="122"/>
      <c r="D781" s="122"/>
      <c r="E781" s="122"/>
      <c r="F781" s="122"/>
      <c r="G781" s="123"/>
      <c r="H781" s="122"/>
      <c r="I781" s="17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22"/>
      <c r="B782" s="122"/>
      <c r="C782" s="122"/>
      <c r="D782" s="122"/>
      <c r="E782" s="122"/>
      <c r="F782" s="122"/>
      <c r="G782" s="123"/>
      <c r="H782" s="122"/>
      <c r="I782" s="17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22"/>
      <c r="B783" s="122"/>
      <c r="C783" s="122"/>
      <c r="D783" s="122"/>
      <c r="E783" s="122"/>
      <c r="F783" s="122"/>
      <c r="G783" s="123"/>
      <c r="H783" s="122"/>
      <c r="I783" s="17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22"/>
      <c r="B784" s="122"/>
      <c r="C784" s="122"/>
      <c r="D784" s="122"/>
      <c r="E784" s="122"/>
      <c r="F784" s="122"/>
      <c r="G784" s="123"/>
      <c r="H784" s="122"/>
      <c r="I784" s="17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22"/>
      <c r="B785" s="122"/>
      <c r="C785" s="122"/>
      <c r="D785" s="122"/>
      <c r="E785" s="122"/>
      <c r="F785" s="122"/>
      <c r="G785" s="123"/>
      <c r="H785" s="122"/>
      <c r="I785" s="17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22"/>
      <c r="B786" s="122"/>
      <c r="C786" s="122"/>
      <c r="D786" s="122"/>
      <c r="E786" s="122"/>
      <c r="F786" s="122"/>
      <c r="G786" s="123"/>
      <c r="H786" s="122"/>
      <c r="I786" s="17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22"/>
      <c r="B787" s="122"/>
      <c r="C787" s="122"/>
      <c r="D787" s="122"/>
      <c r="E787" s="122"/>
      <c r="F787" s="122"/>
      <c r="G787" s="123"/>
      <c r="H787" s="122"/>
      <c r="I787" s="17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22"/>
      <c r="B788" s="122"/>
      <c r="C788" s="122"/>
      <c r="D788" s="122"/>
      <c r="E788" s="122"/>
      <c r="F788" s="122"/>
      <c r="G788" s="123"/>
      <c r="H788" s="122"/>
      <c r="I788" s="17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22"/>
      <c r="B789" s="122"/>
      <c r="C789" s="122"/>
      <c r="D789" s="122"/>
      <c r="E789" s="122"/>
      <c r="F789" s="122"/>
      <c r="G789" s="123"/>
      <c r="H789" s="122"/>
      <c r="I789" s="17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22"/>
      <c r="B790" s="122"/>
      <c r="C790" s="122"/>
      <c r="D790" s="122"/>
      <c r="E790" s="122"/>
      <c r="F790" s="122"/>
      <c r="G790" s="123"/>
      <c r="H790" s="122"/>
      <c r="I790" s="17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22"/>
      <c r="B791" s="122"/>
      <c r="C791" s="122"/>
      <c r="D791" s="122"/>
      <c r="E791" s="122"/>
      <c r="F791" s="122"/>
      <c r="G791" s="123"/>
      <c r="H791" s="122"/>
      <c r="I791" s="17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22"/>
      <c r="B792" s="122"/>
      <c r="C792" s="122"/>
      <c r="D792" s="122"/>
      <c r="E792" s="122"/>
      <c r="F792" s="122"/>
      <c r="G792" s="123"/>
      <c r="H792" s="122"/>
      <c r="I792" s="17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22"/>
      <c r="B793" s="122"/>
      <c r="C793" s="122"/>
      <c r="D793" s="122"/>
      <c r="E793" s="122"/>
      <c r="F793" s="122"/>
      <c r="G793" s="123"/>
      <c r="H793" s="122"/>
      <c r="I793" s="17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22"/>
      <c r="B794" s="122"/>
      <c r="C794" s="122"/>
      <c r="D794" s="122"/>
      <c r="E794" s="122"/>
      <c r="F794" s="122"/>
      <c r="G794" s="123"/>
      <c r="H794" s="122"/>
      <c r="I794" s="17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22"/>
      <c r="B795" s="122"/>
      <c r="C795" s="122"/>
      <c r="D795" s="122"/>
      <c r="E795" s="122"/>
      <c r="F795" s="122"/>
      <c r="G795" s="123"/>
      <c r="H795" s="122"/>
      <c r="I795" s="17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22"/>
      <c r="B796" s="122"/>
      <c r="C796" s="122"/>
      <c r="D796" s="122"/>
      <c r="E796" s="122"/>
      <c r="F796" s="122"/>
      <c r="G796" s="123"/>
      <c r="H796" s="122"/>
      <c r="I796" s="17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22"/>
      <c r="B797" s="122"/>
      <c r="C797" s="122"/>
      <c r="D797" s="122"/>
      <c r="E797" s="122"/>
      <c r="F797" s="122"/>
      <c r="G797" s="123"/>
      <c r="H797" s="122"/>
      <c r="I797" s="17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22"/>
      <c r="B798" s="122"/>
      <c r="C798" s="122"/>
      <c r="D798" s="122"/>
      <c r="E798" s="122"/>
      <c r="F798" s="122"/>
      <c r="G798" s="123"/>
      <c r="H798" s="122"/>
      <c r="I798" s="17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22"/>
      <c r="B799" s="122"/>
      <c r="C799" s="122"/>
      <c r="D799" s="122"/>
      <c r="E799" s="122"/>
      <c r="F799" s="122"/>
      <c r="G799" s="123"/>
      <c r="H799" s="122"/>
      <c r="I799" s="17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22"/>
      <c r="B800" s="122"/>
      <c r="C800" s="122"/>
      <c r="D800" s="122"/>
      <c r="E800" s="122"/>
      <c r="F800" s="122"/>
      <c r="G800" s="123"/>
      <c r="H800" s="122"/>
      <c r="I800" s="17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22"/>
      <c r="B801" s="122"/>
      <c r="C801" s="122"/>
      <c r="D801" s="122"/>
      <c r="E801" s="122"/>
      <c r="F801" s="122"/>
      <c r="G801" s="123"/>
      <c r="H801" s="122"/>
      <c r="I801" s="17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22"/>
      <c r="B802" s="122"/>
      <c r="C802" s="122"/>
      <c r="D802" s="122"/>
      <c r="E802" s="122"/>
      <c r="F802" s="122"/>
      <c r="G802" s="123"/>
      <c r="H802" s="122"/>
      <c r="I802" s="17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22"/>
      <c r="B803" s="122"/>
      <c r="C803" s="122"/>
      <c r="D803" s="122"/>
      <c r="E803" s="122"/>
      <c r="F803" s="122"/>
      <c r="G803" s="123"/>
      <c r="H803" s="122"/>
      <c r="I803" s="17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22"/>
      <c r="B804" s="122"/>
      <c r="C804" s="122"/>
      <c r="D804" s="122"/>
      <c r="E804" s="122"/>
      <c r="F804" s="122"/>
      <c r="G804" s="123"/>
      <c r="H804" s="122"/>
      <c r="I804" s="17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22"/>
      <c r="B805" s="122"/>
      <c r="C805" s="122"/>
      <c r="D805" s="122"/>
      <c r="E805" s="122"/>
      <c r="F805" s="122"/>
      <c r="G805" s="123"/>
      <c r="H805" s="122"/>
      <c r="I805" s="17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22"/>
      <c r="B806" s="122"/>
      <c r="C806" s="122"/>
      <c r="D806" s="122"/>
      <c r="E806" s="122"/>
      <c r="F806" s="122"/>
      <c r="G806" s="123"/>
      <c r="H806" s="122"/>
      <c r="I806" s="17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22"/>
      <c r="B807" s="122"/>
      <c r="C807" s="122"/>
      <c r="D807" s="122"/>
      <c r="E807" s="122"/>
      <c r="F807" s="122"/>
      <c r="G807" s="123"/>
      <c r="H807" s="122"/>
      <c r="I807" s="17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22"/>
      <c r="B808" s="122"/>
      <c r="C808" s="122"/>
      <c r="D808" s="122"/>
      <c r="E808" s="122"/>
      <c r="F808" s="122"/>
      <c r="G808" s="123"/>
      <c r="H808" s="122"/>
      <c r="I808" s="17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22"/>
      <c r="B809" s="122"/>
      <c r="C809" s="122"/>
      <c r="D809" s="122"/>
      <c r="E809" s="122"/>
      <c r="F809" s="122"/>
      <c r="G809" s="123"/>
      <c r="H809" s="122"/>
      <c r="I809" s="17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22"/>
      <c r="B810" s="122"/>
      <c r="C810" s="122"/>
      <c r="D810" s="122"/>
      <c r="E810" s="122"/>
      <c r="F810" s="122"/>
      <c r="G810" s="123"/>
      <c r="H810" s="122"/>
      <c r="I810" s="17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22"/>
      <c r="B811" s="122"/>
      <c r="C811" s="122"/>
      <c r="D811" s="122"/>
      <c r="E811" s="122"/>
      <c r="F811" s="122"/>
      <c r="G811" s="123"/>
      <c r="H811" s="122"/>
      <c r="I811" s="17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22"/>
      <c r="B812" s="122"/>
      <c r="C812" s="122"/>
      <c r="D812" s="122"/>
      <c r="E812" s="122"/>
      <c r="F812" s="122"/>
      <c r="G812" s="123"/>
      <c r="H812" s="122"/>
      <c r="I812" s="17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22"/>
      <c r="B813" s="122"/>
      <c r="C813" s="122"/>
      <c r="D813" s="122"/>
      <c r="E813" s="122"/>
      <c r="F813" s="122"/>
      <c r="G813" s="123"/>
      <c r="H813" s="122"/>
      <c r="I813" s="17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22"/>
      <c r="B814" s="122"/>
      <c r="C814" s="122"/>
      <c r="D814" s="122"/>
      <c r="E814" s="122"/>
      <c r="F814" s="122"/>
      <c r="G814" s="123"/>
      <c r="H814" s="122"/>
      <c r="I814" s="17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22"/>
      <c r="B815" s="122"/>
      <c r="C815" s="122"/>
      <c r="D815" s="122"/>
      <c r="E815" s="122"/>
      <c r="F815" s="122"/>
      <c r="G815" s="123"/>
      <c r="H815" s="122"/>
      <c r="I815" s="17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22"/>
      <c r="B816" s="122"/>
      <c r="C816" s="122"/>
      <c r="D816" s="122"/>
      <c r="E816" s="122"/>
      <c r="F816" s="122"/>
      <c r="G816" s="123"/>
      <c r="H816" s="122"/>
      <c r="I816" s="17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22"/>
      <c r="B817" s="122"/>
      <c r="C817" s="122"/>
      <c r="D817" s="122"/>
      <c r="E817" s="122"/>
      <c r="F817" s="122"/>
      <c r="G817" s="123"/>
      <c r="H817" s="122"/>
      <c r="I817" s="17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22"/>
      <c r="B818" s="122"/>
      <c r="C818" s="122"/>
      <c r="D818" s="122"/>
      <c r="E818" s="122"/>
      <c r="F818" s="122"/>
      <c r="G818" s="123"/>
      <c r="H818" s="122"/>
      <c r="I818" s="17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22"/>
      <c r="B819" s="122"/>
      <c r="C819" s="122"/>
      <c r="D819" s="122"/>
      <c r="E819" s="122"/>
      <c r="F819" s="122"/>
      <c r="G819" s="123"/>
      <c r="H819" s="122"/>
      <c r="I819" s="17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22"/>
      <c r="B820" s="122"/>
      <c r="C820" s="122"/>
      <c r="D820" s="122"/>
      <c r="E820" s="122"/>
      <c r="F820" s="122"/>
      <c r="G820" s="123"/>
      <c r="H820" s="122"/>
      <c r="I820" s="17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22"/>
      <c r="B821" s="122"/>
      <c r="C821" s="122"/>
      <c r="D821" s="122"/>
      <c r="E821" s="122"/>
      <c r="F821" s="122"/>
      <c r="G821" s="123"/>
      <c r="H821" s="122"/>
      <c r="I821" s="17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22"/>
      <c r="B822" s="122"/>
      <c r="C822" s="122"/>
      <c r="D822" s="122"/>
      <c r="E822" s="122"/>
      <c r="F822" s="122"/>
      <c r="G822" s="123"/>
      <c r="H822" s="122"/>
      <c r="I822" s="17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22"/>
      <c r="B823" s="122"/>
      <c r="C823" s="122"/>
      <c r="D823" s="122"/>
      <c r="E823" s="122"/>
      <c r="F823" s="122"/>
      <c r="G823" s="123"/>
      <c r="H823" s="122"/>
      <c r="I823" s="17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22"/>
      <c r="B824" s="122"/>
      <c r="C824" s="122"/>
      <c r="D824" s="122"/>
      <c r="E824" s="122"/>
      <c r="F824" s="122"/>
      <c r="G824" s="123"/>
      <c r="H824" s="122"/>
      <c r="I824" s="17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22"/>
      <c r="B825" s="122"/>
      <c r="C825" s="122"/>
      <c r="D825" s="122"/>
      <c r="E825" s="122"/>
      <c r="F825" s="122"/>
      <c r="G825" s="123"/>
      <c r="H825" s="122"/>
      <c r="I825" s="17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22"/>
      <c r="B826" s="122"/>
      <c r="C826" s="122"/>
      <c r="D826" s="122"/>
      <c r="E826" s="122"/>
      <c r="F826" s="122"/>
      <c r="G826" s="123"/>
      <c r="H826" s="122"/>
      <c r="I826" s="17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22"/>
      <c r="B827" s="122"/>
      <c r="C827" s="122"/>
      <c r="D827" s="122"/>
      <c r="E827" s="122"/>
      <c r="F827" s="122"/>
      <c r="G827" s="123"/>
      <c r="H827" s="122"/>
      <c r="I827" s="17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22"/>
      <c r="B828" s="122"/>
      <c r="C828" s="122"/>
      <c r="D828" s="122"/>
      <c r="E828" s="122"/>
      <c r="F828" s="122"/>
      <c r="G828" s="123"/>
      <c r="H828" s="122"/>
      <c r="I828" s="17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22"/>
      <c r="B829" s="122"/>
      <c r="C829" s="122"/>
      <c r="D829" s="122"/>
      <c r="E829" s="122"/>
      <c r="F829" s="122"/>
      <c r="G829" s="123"/>
      <c r="H829" s="122"/>
      <c r="I829" s="17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22"/>
      <c r="B830" s="122"/>
      <c r="C830" s="122"/>
      <c r="D830" s="122"/>
      <c r="E830" s="122"/>
      <c r="F830" s="122"/>
      <c r="G830" s="123"/>
      <c r="H830" s="122"/>
      <c r="I830" s="17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22"/>
      <c r="B831" s="122"/>
      <c r="C831" s="122"/>
      <c r="D831" s="122"/>
      <c r="E831" s="122"/>
      <c r="F831" s="122"/>
      <c r="G831" s="123"/>
      <c r="H831" s="122"/>
      <c r="I831" s="17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22"/>
      <c r="B832" s="122"/>
      <c r="C832" s="122"/>
      <c r="D832" s="122"/>
      <c r="E832" s="122"/>
      <c r="F832" s="122"/>
      <c r="G832" s="123"/>
      <c r="H832" s="122"/>
      <c r="I832" s="17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22"/>
      <c r="B833" s="122"/>
      <c r="C833" s="122"/>
      <c r="D833" s="122"/>
      <c r="E833" s="122"/>
      <c r="F833" s="122"/>
      <c r="G833" s="123"/>
      <c r="H833" s="122"/>
      <c r="I833" s="17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22"/>
      <c r="B834" s="122"/>
      <c r="C834" s="122"/>
      <c r="D834" s="122"/>
      <c r="E834" s="122"/>
      <c r="F834" s="122"/>
      <c r="G834" s="123"/>
      <c r="H834" s="122"/>
      <c r="I834" s="17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22"/>
      <c r="B835" s="122"/>
      <c r="C835" s="122"/>
      <c r="D835" s="122"/>
      <c r="E835" s="122"/>
      <c r="F835" s="122"/>
      <c r="G835" s="123"/>
      <c r="H835" s="122"/>
      <c r="I835" s="17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22"/>
      <c r="B836" s="122"/>
      <c r="C836" s="122"/>
      <c r="D836" s="122"/>
      <c r="E836" s="122"/>
      <c r="F836" s="122"/>
      <c r="G836" s="123"/>
      <c r="H836" s="122"/>
      <c r="I836" s="17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22"/>
      <c r="B837" s="122"/>
      <c r="C837" s="122"/>
      <c r="D837" s="122"/>
      <c r="E837" s="122"/>
      <c r="F837" s="122"/>
      <c r="G837" s="123"/>
      <c r="H837" s="122"/>
      <c r="I837" s="17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22"/>
      <c r="B838" s="122"/>
      <c r="C838" s="122"/>
      <c r="D838" s="122"/>
      <c r="E838" s="122"/>
      <c r="F838" s="122"/>
      <c r="G838" s="123"/>
      <c r="H838" s="122"/>
      <c r="I838" s="17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22"/>
      <c r="B839" s="122"/>
      <c r="C839" s="122"/>
      <c r="D839" s="122"/>
      <c r="E839" s="122"/>
      <c r="F839" s="122"/>
      <c r="G839" s="123"/>
      <c r="H839" s="122"/>
      <c r="I839" s="17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22"/>
      <c r="B840" s="122"/>
      <c r="C840" s="122"/>
      <c r="D840" s="122"/>
      <c r="E840" s="122"/>
      <c r="F840" s="122"/>
      <c r="G840" s="123"/>
      <c r="H840" s="122"/>
      <c r="I840" s="17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22"/>
      <c r="B841" s="122"/>
      <c r="C841" s="122"/>
      <c r="D841" s="122"/>
      <c r="E841" s="122"/>
      <c r="F841" s="122"/>
      <c r="G841" s="123"/>
      <c r="H841" s="122"/>
      <c r="I841" s="17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22"/>
      <c r="B842" s="122"/>
      <c r="C842" s="122"/>
      <c r="D842" s="122"/>
      <c r="E842" s="122"/>
      <c r="F842" s="122"/>
      <c r="G842" s="123"/>
      <c r="H842" s="122"/>
      <c r="I842" s="17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22"/>
      <c r="B843" s="122"/>
      <c r="C843" s="122"/>
      <c r="D843" s="122"/>
      <c r="E843" s="122"/>
      <c r="F843" s="122"/>
      <c r="G843" s="123"/>
      <c r="H843" s="122"/>
      <c r="I843" s="17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22"/>
      <c r="B844" s="122"/>
      <c r="C844" s="122"/>
      <c r="D844" s="122"/>
      <c r="E844" s="122"/>
      <c r="F844" s="122"/>
      <c r="G844" s="123"/>
      <c r="H844" s="122"/>
      <c r="I844" s="17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22"/>
      <c r="B845" s="122"/>
      <c r="C845" s="122"/>
      <c r="D845" s="122"/>
      <c r="E845" s="122"/>
      <c r="F845" s="122"/>
      <c r="G845" s="123"/>
      <c r="H845" s="122"/>
      <c r="I845" s="17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22"/>
      <c r="B846" s="122"/>
      <c r="C846" s="122"/>
      <c r="D846" s="122"/>
      <c r="E846" s="122"/>
      <c r="F846" s="122"/>
      <c r="G846" s="123"/>
      <c r="H846" s="122"/>
      <c r="I846" s="17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22"/>
      <c r="B847" s="122"/>
      <c r="C847" s="122"/>
      <c r="D847" s="122"/>
      <c r="E847" s="122"/>
      <c r="F847" s="122"/>
      <c r="G847" s="123"/>
      <c r="H847" s="122"/>
      <c r="I847" s="17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22"/>
      <c r="B848" s="122"/>
      <c r="C848" s="122"/>
      <c r="D848" s="122"/>
      <c r="E848" s="122"/>
      <c r="F848" s="122"/>
      <c r="G848" s="123"/>
      <c r="H848" s="122"/>
      <c r="I848" s="17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22"/>
      <c r="B849" s="122"/>
      <c r="C849" s="122"/>
      <c r="D849" s="122"/>
      <c r="E849" s="122"/>
      <c r="F849" s="122"/>
      <c r="G849" s="123"/>
      <c r="H849" s="122"/>
      <c r="I849" s="17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22"/>
      <c r="B850" s="122"/>
      <c r="C850" s="122"/>
      <c r="D850" s="122"/>
      <c r="E850" s="122"/>
      <c r="F850" s="122"/>
      <c r="G850" s="123"/>
      <c r="H850" s="122"/>
      <c r="I850" s="17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22"/>
      <c r="B851" s="122"/>
      <c r="C851" s="122"/>
      <c r="D851" s="122"/>
      <c r="E851" s="122"/>
      <c r="F851" s="122"/>
      <c r="G851" s="123"/>
      <c r="H851" s="122"/>
      <c r="I851" s="17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22"/>
      <c r="B852" s="122"/>
      <c r="C852" s="122"/>
      <c r="D852" s="122"/>
      <c r="E852" s="122"/>
      <c r="F852" s="122"/>
      <c r="G852" s="123"/>
      <c r="H852" s="122"/>
      <c r="I852" s="17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22"/>
      <c r="B853" s="122"/>
      <c r="C853" s="122"/>
      <c r="D853" s="122"/>
      <c r="E853" s="122"/>
      <c r="F853" s="122"/>
      <c r="G853" s="123"/>
      <c r="H853" s="122"/>
      <c r="I853" s="17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22"/>
      <c r="B854" s="122"/>
      <c r="C854" s="122"/>
      <c r="D854" s="122"/>
      <c r="E854" s="122"/>
      <c r="F854" s="122"/>
      <c r="G854" s="123"/>
      <c r="H854" s="122"/>
      <c r="I854" s="17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22"/>
      <c r="B855" s="122"/>
      <c r="C855" s="122"/>
      <c r="D855" s="122"/>
      <c r="E855" s="122"/>
      <c r="F855" s="122"/>
      <c r="G855" s="123"/>
      <c r="H855" s="122"/>
      <c r="I855" s="17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22"/>
      <c r="B856" s="122"/>
      <c r="C856" s="122"/>
      <c r="D856" s="122"/>
      <c r="E856" s="122"/>
      <c r="F856" s="122"/>
      <c r="G856" s="123"/>
      <c r="H856" s="122"/>
      <c r="I856" s="17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22"/>
      <c r="B857" s="122"/>
      <c r="C857" s="122"/>
      <c r="D857" s="122"/>
      <c r="E857" s="122"/>
      <c r="F857" s="122"/>
      <c r="G857" s="123"/>
      <c r="H857" s="122"/>
      <c r="I857" s="17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22"/>
      <c r="B858" s="122"/>
      <c r="C858" s="122"/>
      <c r="D858" s="122"/>
      <c r="E858" s="122"/>
      <c r="F858" s="122"/>
      <c r="G858" s="123"/>
      <c r="H858" s="122"/>
      <c r="I858" s="17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22"/>
      <c r="B859" s="122"/>
      <c r="C859" s="122"/>
      <c r="D859" s="122"/>
      <c r="E859" s="122"/>
      <c r="F859" s="122"/>
      <c r="G859" s="123"/>
      <c r="H859" s="122"/>
      <c r="I859" s="17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22"/>
      <c r="B860" s="122"/>
      <c r="C860" s="122"/>
      <c r="D860" s="122"/>
      <c r="E860" s="122"/>
      <c r="F860" s="122"/>
      <c r="G860" s="123"/>
      <c r="H860" s="122"/>
      <c r="I860" s="17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22"/>
      <c r="B861" s="122"/>
      <c r="C861" s="122"/>
      <c r="D861" s="122"/>
      <c r="E861" s="122"/>
      <c r="F861" s="122"/>
      <c r="G861" s="123"/>
      <c r="H861" s="122"/>
      <c r="I861" s="17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22"/>
      <c r="B862" s="122"/>
      <c r="C862" s="122"/>
      <c r="D862" s="122"/>
      <c r="E862" s="122"/>
      <c r="F862" s="122"/>
      <c r="G862" s="123"/>
      <c r="H862" s="122"/>
      <c r="I862" s="17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22"/>
      <c r="B863" s="122"/>
      <c r="C863" s="122"/>
      <c r="D863" s="122"/>
      <c r="E863" s="122"/>
      <c r="F863" s="122"/>
      <c r="G863" s="123"/>
      <c r="H863" s="122"/>
      <c r="I863" s="17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22"/>
      <c r="B864" s="122"/>
      <c r="C864" s="122"/>
      <c r="D864" s="122"/>
      <c r="E864" s="122"/>
      <c r="F864" s="122"/>
      <c r="G864" s="123"/>
      <c r="H864" s="122"/>
      <c r="I864" s="17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22"/>
      <c r="B865" s="122"/>
      <c r="C865" s="122"/>
      <c r="D865" s="122"/>
      <c r="E865" s="122"/>
      <c r="F865" s="122"/>
      <c r="G865" s="123"/>
      <c r="H865" s="122"/>
      <c r="I865" s="17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22"/>
      <c r="B866" s="122"/>
      <c r="C866" s="122"/>
      <c r="D866" s="122"/>
      <c r="E866" s="122"/>
      <c r="F866" s="122"/>
      <c r="G866" s="123"/>
      <c r="H866" s="122"/>
      <c r="I866" s="17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22"/>
      <c r="B867" s="122"/>
      <c r="C867" s="122"/>
      <c r="D867" s="122"/>
      <c r="E867" s="122"/>
      <c r="F867" s="122"/>
      <c r="G867" s="123"/>
      <c r="H867" s="122"/>
      <c r="I867" s="17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22"/>
      <c r="B868" s="122"/>
      <c r="C868" s="122"/>
      <c r="D868" s="122"/>
      <c r="E868" s="122"/>
      <c r="F868" s="122"/>
      <c r="G868" s="123"/>
      <c r="H868" s="122"/>
      <c r="I868" s="17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22"/>
      <c r="B869" s="122"/>
      <c r="C869" s="122"/>
      <c r="D869" s="122"/>
      <c r="E869" s="122"/>
      <c r="F869" s="122"/>
      <c r="G869" s="123"/>
      <c r="H869" s="122"/>
      <c r="I869" s="17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22"/>
      <c r="B870" s="122"/>
      <c r="C870" s="122"/>
      <c r="D870" s="122"/>
      <c r="E870" s="122"/>
      <c r="F870" s="122"/>
      <c r="G870" s="123"/>
      <c r="H870" s="122"/>
      <c r="I870" s="17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22"/>
      <c r="B871" s="122"/>
      <c r="C871" s="122"/>
      <c r="D871" s="122"/>
      <c r="E871" s="122"/>
      <c r="F871" s="122"/>
      <c r="G871" s="123"/>
      <c r="H871" s="122"/>
      <c r="I871" s="17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22"/>
      <c r="B872" s="122"/>
      <c r="C872" s="122"/>
      <c r="D872" s="122"/>
      <c r="E872" s="122"/>
      <c r="F872" s="122"/>
      <c r="G872" s="123"/>
      <c r="H872" s="122"/>
      <c r="I872" s="17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22"/>
      <c r="B873" s="122"/>
      <c r="C873" s="122"/>
      <c r="D873" s="122"/>
      <c r="E873" s="122"/>
      <c r="F873" s="122"/>
      <c r="G873" s="123"/>
      <c r="H873" s="122"/>
      <c r="I873" s="17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22"/>
      <c r="B874" s="122"/>
      <c r="C874" s="122"/>
      <c r="D874" s="122"/>
      <c r="E874" s="122"/>
      <c r="F874" s="122"/>
      <c r="G874" s="123"/>
      <c r="H874" s="122"/>
      <c r="I874" s="17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22"/>
      <c r="B875" s="122"/>
      <c r="C875" s="122"/>
      <c r="D875" s="122"/>
      <c r="E875" s="122"/>
      <c r="F875" s="122"/>
      <c r="G875" s="123"/>
      <c r="H875" s="122"/>
      <c r="I875" s="17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22"/>
      <c r="B876" s="122"/>
      <c r="C876" s="122"/>
      <c r="D876" s="122"/>
      <c r="E876" s="122"/>
      <c r="F876" s="122"/>
      <c r="G876" s="123"/>
      <c r="H876" s="122"/>
      <c r="I876" s="17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22"/>
      <c r="B877" s="122"/>
      <c r="C877" s="122"/>
      <c r="D877" s="122"/>
      <c r="E877" s="122"/>
      <c r="F877" s="122"/>
      <c r="G877" s="123"/>
      <c r="H877" s="122"/>
      <c r="I877" s="17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22"/>
      <c r="B878" s="122"/>
      <c r="C878" s="122"/>
      <c r="D878" s="122"/>
      <c r="E878" s="122"/>
      <c r="F878" s="122"/>
      <c r="G878" s="123"/>
      <c r="H878" s="122"/>
      <c r="I878" s="17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22"/>
      <c r="B879" s="122"/>
      <c r="C879" s="122"/>
      <c r="D879" s="122"/>
      <c r="E879" s="122"/>
      <c r="F879" s="122"/>
      <c r="G879" s="123"/>
      <c r="H879" s="122"/>
      <c r="I879" s="17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22"/>
      <c r="B880" s="122"/>
      <c r="C880" s="122"/>
      <c r="D880" s="122"/>
      <c r="E880" s="122"/>
      <c r="F880" s="122"/>
      <c r="G880" s="123"/>
      <c r="H880" s="122"/>
      <c r="I880" s="17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22"/>
      <c r="B881" s="122"/>
      <c r="C881" s="122"/>
      <c r="D881" s="122"/>
      <c r="E881" s="122"/>
      <c r="F881" s="122"/>
      <c r="G881" s="123"/>
      <c r="H881" s="122"/>
      <c r="I881" s="17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22"/>
      <c r="B882" s="122"/>
      <c r="C882" s="122"/>
      <c r="D882" s="122"/>
      <c r="E882" s="122"/>
      <c r="F882" s="122"/>
      <c r="G882" s="123"/>
      <c r="H882" s="122"/>
      <c r="I882" s="17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22"/>
      <c r="B883" s="122"/>
      <c r="C883" s="122"/>
      <c r="D883" s="122"/>
      <c r="E883" s="122"/>
      <c r="F883" s="122"/>
      <c r="G883" s="123"/>
      <c r="H883" s="122"/>
      <c r="I883" s="17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22"/>
      <c r="B884" s="122"/>
      <c r="C884" s="122"/>
      <c r="D884" s="122"/>
      <c r="E884" s="122"/>
      <c r="F884" s="122"/>
      <c r="G884" s="123"/>
      <c r="H884" s="122"/>
      <c r="I884" s="17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22"/>
      <c r="B885" s="122"/>
      <c r="C885" s="122"/>
      <c r="D885" s="122"/>
      <c r="E885" s="122"/>
      <c r="F885" s="122"/>
      <c r="G885" s="123"/>
      <c r="H885" s="122"/>
      <c r="I885" s="17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22"/>
      <c r="B886" s="122"/>
      <c r="C886" s="122"/>
      <c r="D886" s="122"/>
      <c r="E886" s="122"/>
      <c r="F886" s="122"/>
      <c r="G886" s="123"/>
      <c r="H886" s="122"/>
      <c r="I886" s="17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22"/>
      <c r="B887" s="122"/>
      <c r="C887" s="122"/>
      <c r="D887" s="122"/>
      <c r="E887" s="122"/>
      <c r="F887" s="122"/>
      <c r="G887" s="123"/>
      <c r="H887" s="122"/>
      <c r="I887" s="17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22"/>
      <c r="B888" s="122"/>
      <c r="C888" s="122"/>
      <c r="D888" s="122"/>
      <c r="E888" s="122"/>
      <c r="F888" s="122"/>
      <c r="G888" s="123"/>
      <c r="H888" s="122"/>
      <c r="I888" s="17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22"/>
      <c r="B889" s="122"/>
      <c r="C889" s="122"/>
      <c r="D889" s="122"/>
      <c r="E889" s="122"/>
      <c r="F889" s="122"/>
      <c r="G889" s="123"/>
      <c r="H889" s="122"/>
      <c r="I889" s="17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22"/>
      <c r="B890" s="122"/>
      <c r="C890" s="122"/>
      <c r="D890" s="122"/>
      <c r="E890" s="122"/>
      <c r="F890" s="122"/>
      <c r="G890" s="123"/>
      <c r="H890" s="122"/>
      <c r="I890" s="17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22"/>
      <c r="B891" s="122"/>
      <c r="C891" s="122"/>
      <c r="D891" s="122"/>
      <c r="E891" s="122"/>
      <c r="F891" s="122"/>
      <c r="G891" s="123"/>
      <c r="H891" s="122"/>
      <c r="I891" s="17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22"/>
      <c r="B892" s="122"/>
      <c r="C892" s="122"/>
      <c r="D892" s="122"/>
      <c r="E892" s="122"/>
      <c r="F892" s="122"/>
      <c r="G892" s="123"/>
      <c r="H892" s="122"/>
      <c r="I892" s="17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22"/>
      <c r="B893" s="122"/>
      <c r="C893" s="122"/>
      <c r="D893" s="122"/>
      <c r="E893" s="122"/>
      <c r="F893" s="122"/>
      <c r="G893" s="123"/>
      <c r="H893" s="122"/>
      <c r="I893" s="17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22"/>
      <c r="B894" s="122"/>
      <c r="C894" s="122"/>
      <c r="D894" s="122"/>
      <c r="E894" s="122"/>
      <c r="F894" s="122"/>
      <c r="G894" s="123"/>
      <c r="H894" s="122"/>
      <c r="I894" s="17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22"/>
      <c r="B895" s="122"/>
      <c r="C895" s="122"/>
      <c r="D895" s="122"/>
      <c r="E895" s="122"/>
      <c r="F895" s="122"/>
      <c r="G895" s="123"/>
      <c r="H895" s="122"/>
      <c r="I895" s="17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22"/>
      <c r="B896" s="122"/>
      <c r="C896" s="122"/>
      <c r="D896" s="122"/>
      <c r="E896" s="122"/>
      <c r="F896" s="122"/>
      <c r="G896" s="123"/>
      <c r="H896" s="122"/>
      <c r="I896" s="17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22"/>
      <c r="B897" s="122"/>
      <c r="C897" s="122"/>
      <c r="D897" s="122"/>
      <c r="E897" s="122"/>
      <c r="F897" s="122"/>
      <c r="G897" s="123"/>
      <c r="H897" s="122"/>
      <c r="I897" s="17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22"/>
      <c r="B898" s="122"/>
      <c r="C898" s="122"/>
      <c r="D898" s="122"/>
      <c r="E898" s="122"/>
      <c r="F898" s="122"/>
      <c r="G898" s="123"/>
      <c r="H898" s="122"/>
      <c r="I898" s="17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22"/>
      <c r="B899" s="122"/>
      <c r="C899" s="122"/>
      <c r="D899" s="122"/>
      <c r="E899" s="122"/>
      <c r="F899" s="122"/>
      <c r="G899" s="123"/>
      <c r="H899" s="122"/>
      <c r="I899" s="17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22"/>
      <c r="B900" s="122"/>
      <c r="C900" s="122"/>
      <c r="D900" s="122"/>
      <c r="E900" s="122"/>
      <c r="F900" s="122"/>
      <c r="G900" s="123"/>
      <c r="H900" s="122"/>
      <c r="I900" s="17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22"/>
      <c r="B901" s="122"/>
      <c r="C901" s="122"/>
      <c r="D901" s="122"/>
      <c r="E901" s="122"/>
      <c r="F901" s="122"/>
      <c r="G901" s="123"/>
      <c r="H901" s="122"/>
      <c r="I901" s="17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22"/>
      <c r="B902" s="122"/>
      <c r="C902" s="122"/>
      <c r="D902" s="122"/>
      <c r="E902" s="122"/>
      <c r="F902" s="122"/>
      <c r="G902" s="123"/>
      <c r="H902" s="122"/>
      <c r="I902" s="17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22"/>
      <c r="B903" s="122"/>
      <c r="C903" s="122"/>
      <c r="D903" s="122"/>
      <c r="E903" s="122"/>
      <c r="F903" s="122"/>
      <c r="G903" s="123"/>
      <c r="H903" s="122"/>
      <c r="I903" s="17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22"/>
      <c r="B904" s="122"/>
      <c r="C904" s="122"/>
      <c r="D904" s="122"/>
      <c r="E904" s="122"/>
      <c r="F904" s="122"/>
      <c r="G904" s="123"/>
      <c r="H904" s="122"/>
      <c r="I904" s="17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22"/>
      <c r="B905" s="122"/>
      <c r="C905" s="122"/>
      <c r="D905" s="122"/>
      <c r="E905" s="122"/>
      <c r="F905" s="122"/>
      <c r="G905" s="123"/>
      <c r="H905" s="122"/>
      <c r="I905" s="17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22"/>
      <c r="B906" s="122"/>
      <c r="C906" s="122"/>
      <c r="D906" s="122"/>
      <c r="E906" s="122"/>
      <c r="F906" s="122"/>
      <c r="G906" s="123"/>
      <c r="H906" s="122"/>
      <c r="I906" s="17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22"/>
      <c r="B907" s="122"/>
      <c r="C907" s="122"/>
      <c r="D907" s="122"/>
      <c r="E907" s="122"/>
      <c r="F907" s="122"/>
      <c r="G907" s="123"/>
      <c r="H907" s="122"/>
      <c r="I907" s="17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22"/>
      <c r="B908" s="122"/>
      <c r="C908" s="122"/>
      <c r="D908" s="122"/>
      <c r="E908" s="122"/>
      <c r="F908" s="122"/>
      <c r="G908" s="123"/>
      <c r="H908" s="122"/>
      <c r="I908" s="17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22"/>
      <c r="B909" s="122"/>
      <c r="C909" s="122"/>
      <c r="D909" s="122"/>
      <c r="E909" s="122"/>
      <c r="F909" s="122"/>
      <c r="G909" s="123"/>
      <c r="H909" s="122"/>
      <c r="I909" s="17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22"/>
      <c r="B910" s="122"/>
      <c r="C910" s="122"/>
      <c r="D910" s="122"/>
      <c r="E910" s="122"/>
      <c r="F910" s="122"/>
      <c r="G910" s="123"/>
      <c r="H910" s="122"/>
      <c r="I910" s="17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22"/>
      <c r="B911" s="122"/>
      <c r="C911" s="122"/>
      <c r="D911" s="122"/>
      <c r="E911" s="122"/>
      <c r="F911" s="122"/>
      <c r="G911" s="123"/>
      <c r="H911" s="122"/>
      <c r="I911" s="17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22"/>
      <c r="B912" s="122"/>
      <c r="C912" s="122"/>
      <c r="D912" s="122"/>
      <c r="E912" s="122"/>
      <c r="F912" s="122"/>
      <c r="G912" s="123"/>
      <c r="H912" s="122"/>
      <c r="I912" s="17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22"/>
      <c r="B913" s="122"/>
      <c r="C913" s="122"/>
      <c r="D913" s="122"/>
      <c r="E913" s="122"/>
      <c r="F913" s="122"/>
      <c r="G913" s="123"/>
      <c r="H913" s="122"/>
      <c r="I913" s="17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22"/>
      <c r="B914" s="122"/>
      <c r="C914" s="122"/>
      <c r="D914" s="122"/>
      <c r="E914" s="122"/>
      <c r="F914" s="122"/>
      <c r="G914" s="123"/>
      <c r="H914" s="122"/>
      <c r="I914" s="17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22"/>
      <c r="B915" s="122"/>
      <c r="C915" s="122"/>
      <c r="D915" s="122"/>
      <c r="E915" s="122"/>
      <c r="F915" s="122"/>
      <c r="G915" s="123"/>
      <c r="H915" s="122"/>
      <c r="I915" s="17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22"/>
      <c r="B916" s="122"/>
      <c r="C916" s="122"/>
      <c r="D916" s="122"/>
      <c r="E916" s="122"/>
      <c r="F916" s="122"/>
      <c r="G916" s="123"/>
      <c r="H916" s="122"/>
      <c r="I916" s="17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22"/>
      <c r="B917" s="122"/>
      <c r="C917" s="122"/>
      <c r="D917" s="122"/>
      <c r="E917" s="122"/>
      <c r="F917" s="122"/>
      <c r="G917" s="123"/>
      <c r="H917" s="122"/>
      <c r="I917" s="17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22"/>
      <c r="B918" s="122"/>
      <c r="C918" s="122"/>
      <c r="D918" s="122"/>
      <c r="E918" s="122"/>
      <c r="F918" s="122"/>
      <c r="G918" s="123"/>
      <c r="H918" s="122"/>
      <c r="I918" s="17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22"/>
      <c r="B919" s="122"/>
      <c r="C919" s="122"/>
      <c r="D919" s="122"/>
      <c r="E919" s="122"/>
      <c r="F919" s="122"/>
      <c r="G919" s="123"/>
      <c r="H919" s="122"/>
      <c r="I919" s="17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22"/>
      <c r="B920" s="122"/>
      <c r="C920" s="122"/>
      <c r="D920" s="122"/>
      <c r="E920" s="122"/>
      <c r="F920" s="122"/>
      <c r="G920" s="123"/>
      <c r="H920" s="122"/>
      <c r="I920" s="17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22"/>
      <c r="B921" s="122"/>
      <c r="C921" s="122"/>
      <c r="D921" s="122"/>
      <c r="E921" s="122"/>
      <c r="F921" s="122"/>
      <c r="G921" s="123"/>
      <c r="H921" s="122"/>
      <c r="I921" s="17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22"/>
      <c r="B922" s="122"/>
      <c r="C922" s="122"/>
      <c r="D922" s="122"/>
      <c r="E922" s="122"/>
      <c r="F922" s="122"/>
      <c r="G922" s="123"/>
      <c r="H922" s="122"/>
      <c r="I922" s="17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22"/>
      <c r="B923" s="122"/>
      <c r="C923" s="122"/>
      <c r="D923" s="122"/>
      <c r="E923" s="122"/>
      <c r="F923" s="122"/>
      <c r="G923" s="123"/>
      <c r="H923" s="122"/>
      <c r="I923" s="17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22"/>
      <c r="B924" s="122"/>
      <c r="C924" s="122"/>
      <c r="D924" s="122"/>
      <c r="E924" s="122"/>
      <c r="F924" s="122"/>
      <c r="G924" s="123"/>
      <c r="H924" s="122"/>
      <c r="I924" s="17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22"/>
      <c r="B925" s="122"/>
      <c r="C925" s="122"/>
      <c r="D925" s="122"/>
      <c r="E925" s="122"/>
      <c r="F925" s="122"/>
      <c r="G925" s="123"/>
      <c r="H925" s="122"/>
      <c r="I925" s="17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22"/>
      <c r="B926" s="122"/>
      <c r="C926" s="122"/>
      <c r="D926" s="122"/>
      <c r="E926" s="122"/>
      <c r="F926" s="122"/>
      <c r="G926" s="123"/>
      <c r="H926" s="122"/>
      <c r="I926" s="17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22"/>
      <c r="B927" s="122"/>
      <c r="C927" s="122"/>
      <c r="D927" s="122"/>
      <c r="E927" s="122"/>
      <c r="F927" s="122"/>
      <c r="G927" s="123"/>
      <c r="H927" s="122"/>
      <c r="I927" s="17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22"/>
      <c r="B928" s="122"/>
      <c r="C928" s="122"/>
      <c r="D928" s="122"/>
      <c r="E928" s="122"/>
      <c r="F928" s="122"/>
      <c r="G928" s="123"/>
      <c r="H928" s="122"/>
      <c r="I928" s="17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22"/>
      <c r="B929" s="122"/>
      <c r="C929" s="122"/>
      <c r="D929" s="122"/>
      <c r="E929" s="122"/>
      <c r="F929" s="122"/>
      <c r="G929" s="123"/>
      <c r="H929" s="122"/>
      <c r="I929" s="17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22"/>
      <c r="B930" s="122"/>
      <c r="C930" s="122"/>
      <c r="D930" s="122"/>
      <c r="E930" s="122"/>
      <c r="F930" s="122"/>
      <c r="G930" s="123"/>
      <c r="H930" s="122"/>
      <c r="I930" s="17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22"/>
      <c r="B931" s="122"/>
      <c r="C931" s="122"/>
      <c r="D931" s="122"/>
      <c r="E931" s="122"/>
      <c r="F931" s="122"/>
      <c r="G931" s="123"/>
      <c r="H931" s="122"/>
      <c r="I931" s="17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22"/>
      <c r="B932" s="122"/>
      <c r="C932" s="122"/>
      <c r="D932" s="122"/>
      <c r="E932" s="122"/>
      <c r="F932" s="122"/>
      <c r="G932" s="123"/>
      <c r="H932" s="122"/>
      <c r="I932" s="17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22"/>
      <c r="B933" s="122"/>
      <c r="C933" s="122"/>
      <c r="D933" s="122"/>
      <c r="E933" s="122"/>
      <c r="F933" s="122"/>
      <c r="G933" s="123"/>
      <c r="H933" s="122"/>
      <c r="I933" s="17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22"/>
      <c r="B934" s="122"/>
      <c r="C934" s="122"/>
      <c r="D934" s="122"/>
      <c r="E934" s="122"/>
      <c r="F934" s="122"/>
      <c r="G934" s="123"/>
      <c r="H934" s="122"/>
      <c r="I934" s="17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22"/>
      <c r="B935" s="122"/>
      <c r="C935" s="122"/>
      <c r="D935" s="122"/>
      <c r="E935" s="122"/>
      <c r="F935" s="122"/>
      <c r="G935" s="123"/>
      <c r="H935" s="122"/>
      <c r="I935" s="17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22"/>
      <c r="B936" s="122"/>
      <c r="C936" s="122"/>
      <c r="D936" s="122"/>
      <c r="E936" s="122"/>
      <c r="F936" s="122"/>
      <c r="G936" s="123"/>
      <c r="H936" s="122"/>
      <c r="I936" s="17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22"/>
      <c r="B937" s="122"/>
      <c r="C937" s="122"/>
      <c r="D937" s="122"/>
      <c r="E937" s="122"/>
      <c r="F937" s="122"/>
      <c r="G937" s="123"/>
      <c r="H937" s="122"/>
      <c r="I937" s="17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22"/>
      <c r="B938" s="122"/>
      <c r="C938" s="122"/>
      <c r="D938" s="122"/>
      <c r="E938" s="122"/>
      <c r="F938" s="122"/>
      <c r="G938" s="123"/>
      <c r="H938" s="122"/>
      <c r="I938" s="17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22"/>
      <c r="B939" s="122"/>
      <c r="C939" s="122"/>
      <c r="D939" s="122"/>
      <c r="E939" s="122"/>
      <c r="F939" s="122"/>
      <c r="G939" s="123"/>
      <c r="H939" s="122"/>
      <c r="I939" s="17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22"/>
      <c r="B940" s="122"/>
      <c r="C940" s="122"/>
      <c r="D940" s="122"/>
      <c r="E940" s="122"/>
      <c r="F940" s="122"/>
      <c r="G940" s="123"/>
      <c r="H940" s="122"/>
      <c r="I940" s="17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22"/>
      <c r="B941" s="122"/>
      <c r="C941" s="122"/>
      <c r="D941" s="122"/>
      <c r="E941" s="122"/>
      <c r="F941" s="122"/>
      <c r="G941" s="123"/>
      <c r="H941" s="122"/>
      <c r="I941" s="17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G942" s="131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</row>
    <row r="943" ht="15.75" customHeight="1">
      <c r="G943" s="131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</row>
    <row r="944" ht="15.75" customHeight="1">
      <c r="G944" s="131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</row>
    <row r="945" ht="15.75" customHeight="1">
      <c r="G945" s="131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</row>
    <row r="946" ht="15.75" customHeight="1">
      <c r="G946" s="131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</row>
    <row r="947" ht="15.75" customHeight="1">
      <c r="G947" s="131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</row>
    <row r="948" ht="15.75" customHeight="1">
      <c r="G948" s="131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</row>
    <row r="949" ht="15.75" customHeight="1">
      <c r="G949" s="131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</row>
    <row r="950" ht="15.75" customHeight="1">
      <c r="G950" s="131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</row>
    <row r="951" ht="15.75" customHeight="1">
      <c r="G951" s="131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</row>
    <row r="952" ht="15.75" customHeight="1">
      <c r="G952" s="131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</row>
    <row r="953" ht="15.75" customHeight="1">
      <c r="G953" s="131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</row>
    <row r="954" ht="15.75" customHeight="1">
      <c r="G954" s="131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</row>
    <row r="955" ht="15.75" customHeight="1">
      <c r="G955" s="131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</row>
    <row r="956" ht="15.75" customHeight="1">
      <c r="G956" s="131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</row>
    <row r="957" ht="15.75" customHeight="1">
      <c r="G957" s="131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</row>
    <row r="958" ht="15.75" customHeight="1">
      <c r="G958" s="131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</row>
    <row r="959" ht="15.75" customHeight="1">
      <c r="G959" s="131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</row>
    <row r="960" ht="15.75" customHeight="1">
      <c r="G960" s="131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</row>
    <row r="961" ht="15.75" customHeight="1">
      <c r="G961" s="131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</row>
    <row r="962" ht="15.75" customHeight="1">
      <c r="G962" s="131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</row>
    <row r="963" ht="15.75" customHeight="1">
      <c r="G963" s="131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</row>
    <row r="964" ht="15.75" customHeight="1">
      <c r="G964" s="131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</row>
    <row r="965" ht="15.75" customHeight="1">
      <c r="G965" s="131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</row>
    <row r="966" ht="15.75" customHeight="1">
      <c r="G966" s="131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</row>
    <row r="967" ht="15.75" customHeight="1">
      <c r="G967" s="131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</row>
    <row r="968" ht="15.75" customHeight="1">
      <c r="G968" s="131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</row>
    <row r="969" ht="15.75" customHeight="1">
      <c r="G969" s="131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</row>
    <row r="970" ht="15.75" customHeight="1">
      <c r="G970" s="131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</row>
    <row r="971" ht="15.75" customHeight="1">
      <c r="G971" s="131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</row>
    <row r="972" ht="15.75" customHeight="1">
      <c r="G972" s="131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</row>
    <row r="973" ht="15.75" customHeight="1">
      <c r="G973" s="131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</row>
    <row r="974" ht="15.75" customHeight="1">
      <c r="G974" s="131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</row>
    <row r="975" ht="15.75" customHeight="1">
      <c r="G975" s="131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</row>
    <row r="976" ht="15.75" customHeight="1">
      <c r="G976" s="131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</row>
    <row r="977" ht="15.75" customHeight="1">
      <c r="G977" s="131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</row>
    <row r="978" ht="15.75" customHeight="1">
      <c r="G978" s="131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</row>
    <row r="979" ht="15.75" customHeight="1">
      <c r="G979" s="131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</row>
    <row r="980" ht="15.75" customHeight="1">
      <c r="G980" s="131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</row>
    <row r="981" ht="15.75" customHeight="1">
      <c r="G981" s="131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</row>
    <row r="982" ht="15.75" customHeight="1">
      <c r="G982" s="131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</row>
    <row r="983" ht="15.75" customHeight="1">
      <c r="G983" s="131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</row>
    <row r="984" ht="15.75" customHeight="1">
      <c r="G984" s="131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</row>
    <row r="985" ht="15.75" customHeight="1">
      <c r="G985" s="131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</row>
    <row r="986" ht="15.75" customHeight="1">
      <c r="G986" s="131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</row>
    <row r="987" ht="15.75" customHeight="1">
      <c r="G987" s="131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</row>
    <row r="988" ht="15.75" customHeight="1">
      <c r="G988" s="131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</row>
    <row r="989" ht="15.75" customHeight="1">
      <c r="G989" s="131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</row>
    <row r="990" ht="15.75" customHeight="1">
      <c r="G990" s="131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</row>
    <row r="991" ht="15.75" customHeight="1">
      <c r="G991" s="131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</row>
    <row r="992" ht="15.75" customHeight="1">
      <c r="G992" s="131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</row>
    <row r="993" ht="15.75" customHeight="1">
      <c r="G993" s="131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</row>
    <row r="994" ht="15.75" customHeight="1">
      <c r="G994" s="131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</row>
    <row r="995" ht="15.75" customHeight="1">
      <c r="G995" s="131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</row>
    <row r="996" ht="15.75" customHeight="1">
      <c r="G996" s="131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</row>
    <row r="997" ht="15.75" customHeight="1">
      <c r="G997" s="131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</row>
    <row r="998" ht="15.75" customHeight="1">
      <c r="G998" s="131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</row>
    <row r="999" ht="15.75" customHeight="1">
      <c r="G999" s="131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</row>
    <row r="1000" ht="15.75" customHeight="1">
      <c r="G1000" s="131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</row>
  </sheetData>
  <mergeCells count="9">
    <mergeCell ref="F97:G97"/>
    <mergeCell ref="F98:G98"/>
    <mergeCell ref="A1:H1"/>
    <mergeCell ref="C2:D2"/>
    <mergeCell ref="F2:H2"/>
    <mergeCell ref="C3:D3"/>
    <mergeCell ref="F3:H3"/>
    <mergeCell ref="C4:H4"/>
    <mergeCell ref="A6:A98"/>
  </mergeCells>
  <dataValidations>
    <dataValidation type="list" allowBlank="1" showErrorMessage="1" sqref="D87:D96">
      <formula1>$K$6:$K$743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1.86"/>
    <col customWidth="1" min="3" max="3" width="34.43"/>
    <col customWidth="1" min="4" max="4" width="12.0"/>
    <col customWidth="1" min="5" max="5" width="13.0"/>
    <col customWidth="1" min="6" max="6" width="8.71"/>
  </cols>
  <sheetData>
    <row r="1">
      <c r="A1" s="2" t="s">
        <v>1</v>
      </c>
      <c r="B1" s="3"/>
      <c r="C1" s="3"/>
      <c r="D1" s="3"/>
      <c r="E1" s="5"/>
    </row>
    <row r="2" ht="30.0" customHeight="1">
      <c r="A2" s="7" t="s">
        <v>4</v>
      </c>
      <c r="B2" s="10" t="s">
        <v>7</v>
      </c>
      <c r="C2" s="11"/>
      <c r="D2" s="13" t="s">
        <v>9</v>
      </c>
      <c r="E2" s="16" t="s">
        <v>10</v>
      </c>
    </row>
    <row r="3" ht="24.75" customHeight="1">
      <c r="A3" s="20" t="s">
        <v>12</v>
      </c>
      <c r="B3" s="27" t="str">
        <f>'ΦΥΛΛΟ ΑΠΟΛΟΓΙΣΜΟΥ'!C3</f>
        <v/>
      </c>
      <c r="C3" s="29" t="s">
        <v>16</v>
      </c>
      <c r="D3" s="34" t="str">
        <f>'ΦΥΛΛΟ ΑΠΟΛΟΓΙΣΜΟΥ'!F3</f>
        <v>979273</v>
      </c>
      <c r="E3" s="38"/>
    </row>
    <row r="4" ht="26.25" customHeight="1">
      <c r="A4" s="42" t="s">
        <v>19</v>
      </c>
      <c r="B4" s="46" t="str">
        <f>'ΦΥΛΛΟ ΑΠΟΛΟΓΙΣΜΟΥ'!C4</f>
        <v>ΛΕΩΦΟΡΟΣ ΓΕΩΡΓΙΟΥ ΑΒΕΡΩΦ 101Α</v>
      </c>
      <c r="C4" s="49"/>
      <c r="D4" s="49"/>
      <c r="E4" s="51"/>
    </row>
    <row r="5">
      <c r="A5" s="54"/>
      <c r="B5" s="57" t="s">
        <v>24</v>
      </c>
      <c r="C5" s="58" t="s">
        <v>25</v>
      </c>
      <c r="D5" s="59" t="s">
        <v>26</v>
      </c>
      <c r="E5" s="61" t="s">
        <v>11</v>
      </c>
    </row>
    <row r="6">
      <c r="A6" s="63"/>
      <c r="B6" s="65" t="s">
        <v>32</v>
      </c>
      <c r="C6" s="67" t="s">
        <v>33</v>
      </c>
      <c r="D6" s="67">
        <v>1.4026586E7</v>
      </c>
      <c r="E6" s="69">
        <v>34.0</v>
      </c>
    </row>
    <row r="7">
      <c r="A7" s="71"/>
      <c r="B7" s="65" t="s">
        <v>35</v>
      </c>
      <c r="C7" s="67" t="s">
        <v>33</v>
      </c>
      <c r="D7" s="67" t="s">
        <v>37</v>
      </c>
      <c r="E7" s="72"/>
    </row>
    <row r="8">
      <c r="A8" s="71"/>
      <c r="B8" s="65" t="s">
        <v>40</v>
      </c>
      <c r="C8" s="67" t="s">
        <v>33</v>
      </c>
      <c r="D8" s="67">
        <v>1.4034374E7</v>
      </c>
      <c r="E8" s="69">
        <v>34.0</v>
      </c>
    </row>
    <row r="9">
      <c r="A9" s="71"/>
      <c r="B9" s="65" t="s">
        <v>41</v>
      </c>
      <c r="C9" s="67" t="s">
        <v>33</v>
      </c>
      <c r="D9" s="67" t="s">
        <v>42</v>
      </c>
      <c r="E9" s="72"/>
    </row>
    <row r="10">
      <c r="A10" s="71"/>
      <c r="B10" s="65" t="s">
        <v>43</v>
      </c>
      <c r="C10" s="67" t="s">
        <v>44</v>
      </c>
      <c r="D10" s="67">
        <v>1.4024326E7</v>
      </c>
      <c r="E10" s="72"/>
    </row>
    <row r="11">
      <c r="A11" s="71"/>
      <c r="B11" s="65" t="s">
        <v>47</v>
      </c>
      <c r="C11" s="67" t="s">
        <v>44</v>
      </c>
      <c r="D11" s="67">
        <v>1.4024327E7</v>
      </c>
      <c r="E11" s="72"/>
    </row>
    <row r="12">
      <c r="A12" s="71"/>
      <c r="B12" s="65" t="s">
        <v>48</v>
      </c>
      <c r="C12" s="67" t="s">
        <v>33</v>
      </c>
      <c r="D12" s="67">
        <v>1.4020192E7</v>
      </c>
      <c r="E12" s="69">
        <v>1.0</v>
      </c>
    </row>
    <row r="13">
      <c r="A13" s="71"/>
      <c r="B13" s="65" t="s">
        <v>51</v>
      </c>
      <c r="C13" s="67" t="s">
        <v>44</v>
      </c>
      <c r="D13" s="67">
        <v>1.4026588E7</v>
      </c>
      <c r="E13" s="69">
        <v>1.0</v>
      </c>
    </row>
    <row r="14">
      <c r="A14" s="71"/>
      <c r="B14" s="65" t="s">
        <v>53</v>
      </c>
      <c r="C14" s="67" t="s">
        <v>44</v>
      </c>
      <c r="D14" s="67">
        <v>1.4026613E7</v>
      </c>
      <c r="E14" s="69">
        <v>1.0</v>
      </c>
    </row>
    <row r="15">
      <c r="A15" s="71"/>
      <c r="B15" s="65" t="s">
        <v>55</v>
      </c>
      <c r="C15" s="67" t="s">
        <v>44</v>
      </c>
      <c r="D15" s="67">
        <v>1.401947E7</v>
      </c>
      <c r="E15" s="69">
        <v>1.0</v>
      </c>
    </row>
    <row r="16">
      <c r="A16" s="71"/>
      <c r="B16" s="65" t="s">
        <v>56</v>
      </c>
      <c r="C16" s="67" t="s">
        <v>44</v>
      </c>
      <c r="D16" s="67">
        <v>1.4026591E7</v>
      </c>
      <c r="E16" s="69">
        <v>1.0</v>
      </c>
    </row>
    <row r="17">
      <c r="A17" s="71"/>
      <c r="B17" s="65" t="s">
        <v>58</v>
      </c>
      <c r="C17" s="67" t="s">
        <v>44</v>
      </c>
      <c r="D17" s="67">
        <v>1.4033652E7</v>
      </c>
      <c r="E17" s="72">
        <v>19.0</v>
      </c>
    </row>
    <row r="18">
      <c r="A18" s="71"/>
      <c r="B18" s="65" t="s">
        <v>61</v>
      </c>
      <c r="C18" s="67" t="s">
        <v>44</v>
      </c>
      <c r="D18" s="67">
        <v>1.4034101E7</v>
      </c>
      <c r="E18" s="72"/>
    </row>
    <row r="19">
      <c r="A19" s="71"/>
      <c r="B19" s="65" t="s">
        <v>64</v>
      </c>
      <c r="C19" s="67" t="s">
        <v>44</v>
      </c>
      <c r="D19" s="67">
        <v>1.4033661E7</v>
      </c>
      <c r="E19" s="72"/>
    </row>
    <row r="20">
      <c r="A20" s="71"/>
      <c r="B20" s="65" t="s">
        <v>67</v>
      </c>
      <c r="C20" s="67" t="s">
        <v>33</v>
      </c>
      <c r="D20" s="67">
        <v>1.4023051E7</v>
      </c>
      <c r="E20" s="72">
        <v>14.0</v>
      </c>
    </row>
    <row r="21" ht="15.75" customHeight="1">
      <c r="A21" s="71"/>
      <c r="B21" s="65" t="s">
        <v>69</v>
      </c>
      <c r="C21" s="67" t="s">
        <v>44</v>
      </c>
      <c r="D21" s="67">
        <v>1.4034167E7</v>
      </c>
      <c r="E21" s="72"/>
    </row>
    <row r="22" ht="15.75" customHeight="1">
      <c r="A22" s="71"/>
      <c r="B22" s="65" t="s">
        <v>70</v>
      </c>
      <c r="C22" s="67" t="s">
        <v>44</v>
      </c>
      <c r="D22" s="67">
        <v>1.4034168E7</v>
      </c>
      <c r="E22" s="72">
        <v>1.0</v>
      </c>
    </row>
    <row r="23" ht="15.75" customHeight="1">
      <c r="A23" s="71"/>
      <c r="B23" s="65" t="s">
        <v>75</v>
      </c>
      <c r="C23" s="67" t="s">
        <v>44</v>
      </c>
      <c r="D23" s="67">
        <v>1.4034169E7</v>
      </c>
      <c r="E23" s="72"/>
    </row>
    <row r="24" ht="15.75" customHeight="1">
      <c r="A24" s="71"/>
      <c r="B24" s="65" t="s">
        <v>76</v>
      </c>
      <c r="C24" s="67" t="s">
        <v>44</v>
      </c>
      <c r="D24" s="67" t="s">
        <v>77</v>
      </c>
      <c r="E24" s="72"/>
    </row>
    <row r="25" ht="15.75" customHeight="1">
      <c r="A25" s="71"/>
      <c r="B25" s="65" t="s">
        <v>78</v>
      </c>
      <c r="C25" s="67" t="s">
        <v>44</v>
      </c>
      <c r="D25" s="67" t="s">
        <v>79</v>
      </c>
      <c r="E25" s="72"/>
    </row>
    <row r="26" ht="15.75" customHeight="1">
      <c r="A26" s="71"/>
      <c r="B26" s="65" t="s">
        <v>80</v>
      </c>
      <c r="C26" s="67" t="s">
        <v>44</v>
      </c>
      <c r="D26" s="67" t="s">
        <v>81</v>
      </c>
      <c r="E26" s="72"/>
    </row>
    <row r="27" ht="15.75" customHeight="1">
      <c r="A27" s="71"/>
      <c r="B27" s="65" t="s">
        <v>83</v>
      </c>
      <c r="C27" s="67" t="s">
        <v>44</v>
      </c>
      <c r="D27" s="67" t="s">
        <v>86</v>
      </c>
      <c r="E27" s="72"/>
    </row>
    <row r="28" ht="15.75" customHeight="1">
      <c r="A28" s="71"/>
      <c r="B28" s="65" t="s">
        <v>88</v>
      </c>
      <c r="C28" s="67" t="s">
        <v>44</v>
      </c>
      <c r="D28" s="67">
        <v>1.4034514E7</v>
      </c>
      <c r="E28" s="72">
        <v>1.0</v>
      </c>
    </row>
    <row r="29" ht="15.75" customHeight="1">
      <c r="A29" s="71"/>
      <c r="B29" s="65" t="s">
        <v>89</v>
      </c>
      <c r="C29" s="67" t="s">
        <v>44</v>
      </c>
      <c r="D29" s="67" t="s">
        <v>90</v>
      </c>
      <c r="E29" s="72"/>
    </row>
    <row r="30" ht="15.75" customHeight="1">
      <c r="A30" s="71"/>
      <c r="B30" s="65" t="s">
        <v>95</v>
      </c>
      <c r="C30" s="67" t="s">
        <v>44</v>
      </c>
      <c r="D30" s="67" t="s">
        <v>96</v>
      </c>
      <c r="E30" s="72">
        <v>1.0</v>
      </c>
    </row>
    <row r="31" ht="15.75" customHeight="1">
      <c r="A31" s="71"/>
      <c r="B31" s="65" t="s">
        <v>97</v>
      </c>
      <c r="C31" s="67" t="s">
        <v>44</v>
      </c>
      <c r="D31" s="67" t="s">
        <v>99</v>
      </c>
      <c r="E31" s="72"/>
    </row>
    <row r="32" ht="15.75" customHeight="1">
      <c r="A32" s="71"/>
      <c r="B32" s="65" t="s">
        <v>100</v>
      </c>
      <c r="C32" s="67" t="s">
        <v>44</v>
      </c>
      <c r="D32" s="67" t="s">
        <v>103</v>
      </c>
      <c r="E32" s="72"/>
    </row>
    <row r="33" ht="15.75" customHeight="1">
      <c r="A33" s="71"/>
      <c r="B33" s="65" t="s">
        <v>106</v>
      </c>
      <c r="C33" s="67" t="s">
        <v>44</v>
      </c>
      <c r="D33" s="67">
        <v>1.4034172E7</v>
      </c>
      <c r="E33" s="72">
        <v>1.0</v>
      </c>
    </row>
    <row r="34" ht="15.75" customHeight="1">
      <c r="A34" s="71"/>
      <c r="B34" s="65" t="s">
        <v>107</v>
      </c>
      <c r="C34" s="67" t="s">
        <v>44</v>
      </c>
      <c r="D34" s="67" t="s">
        <v>108</v>
      </c>
      <c r="E34" s="72"/>
    </row>
    <row r="35" ht="15.75" customHeight="1">
      <c r="A35" s="71"/>
      <c r="B35" s="65" t="s">
        <v>109</v>
      </c>
      <c r="C35" s="67" t="s">
        <v>44</v>
      </c>
      <c r="D35" s="67">
        <v>1.4034173E7</v>
      </c>
      <c r="E35" s="72">
        <v>4.0</v>
      </c>
    </row>
    <row r="36" ht="15.75" customHeight="1">
      <c r="A36" s="71"/>
      <c r="B36" s="65" t="s">
        <v>113</v>
      </c>
      <c r="C36" s="67" t="s">
        <v>44</v>
      </c>
      <c r="D36" s="67" t="s">
        <v>114</v>
      </c>
      <c r="E36" s="72"/>
    </row>
    <row r="37" ht="15.75" customHeight="1">
      <c r="A37" s="71"/>
      <c r="B37" s="65" t="s">
        <v>115</v>
      </c>
      <c r="C37" s="67" t="s">
        <v>44</v>
      </c>
      <c r="D37" s="67" t="s">
        <v>117</v>
      </c>
      <c r="E37" s="72"/>
    </row>
    <row r="38" ht="15.75" customHeight="1">
      <c r="A38" s="71"/>
      <c r="B38" s="65" t="s">
        <v>119</v>
      </c>
      <c r="C38" s="67" t="s">
        <v>44</v>
      </c>
      <c r="D38" s="67" t="s">
        <v>120</v>
      </c>
      <c r="E38" s="72"/>
    </row>
    <row r="39" ht="15.75" customHeight="1">
      <c r="A39" s="71"/>
      <c r="B39" s="65" t="s">
        <v>121</v>
      </c>
      <c r="C39" s="67" t="s">
        <v>33</v>
      </c>
      <c r="D39" s="67" t="s">
        <v>124</v>
      </c>
      <c r="E39" s="72">
        <v>407.0</v>
      </c>
    </row>
    <row r="40" ht="15.75" customHeight="1">
      <c r="A40" s="71"/>
      <c r="B40" s="65" t="s">
        <v>126</v>
      </c>
      <c r="C40" s="67" t="s">
        <v>33</v>
      </c>
      <c r="D40" s="67" t="s">
        <v>127</v>
      </c>
      <c r="E40" s="72"/>
    </row>
    <row r="41" ht="15.75" customHeight="1">
      <c r="A41" s="71"/>
      <c r="B41" s="65" t="s">
        <v>130</v>
      </c>
      <c r="C41" s="67" t="s">
        <v>33</v>
      </c>
      <c r="D41" s="67" t="s">
        <v>131</v>
      </c>
      <c r="E41" s="72"/>
    </row>
    <row r="42" ht="15.75" customHeight="1">
      <c r="A42" s="71"/>
      <c r="B42" s="65" t="s">
        <v>132</v>
      </c>
      <c r="C42" s="67" t="s">
        <v>33</v>
      </c>
      <c r="D42" s="67" t="s">
        <v>134</v>
      </c>
      <c r="E42" s="69">
        <v>125.0</v>
      </c>
    </row>
    <row r="43" ht="15.75" customHeight="1">
      <c r="A43" s="71"/>
      <c r="B43" s="65" t="s">
        <v>137</v>
      </c>
      <c r="C43" s="67" t="s">
        <v>33</v>
      </c>
      <c r="D43" s="67" t="s">
        <v>138</v>
      </c>
      <c r="E43" s="72"/>
    </row>
    <row r="44" ht="15.75" customHeight="1">
      <c r="A44" s="71"/>
      <c r="B44" s="65" t="s">
        <v>139</v>
      </c>
      <c r="C44" s="67" t="s">
        <v>44</v>
      </c>
      <c r="D44" s="67" t="s">
        <v>141</v>
      </c>
      <c r="E44" s="72"/>
    </row>
    <row r="45" ht="15.75" customHeight="1">
      <c r="A45" s="71"/>
      <c r="B45" s="65" t="s">
        <v>143</v>
      </c>
      <c r="C45" s="67" t="s">
        <v>44</v>
      </c>
      <c r="D45" s="67" t="s">
        <v>145</v>
      </c>
      <c r="E45" s="72"/>
    </row>
    <row r="46" ht="15.75" customHeight="1">
      <c r="A46" s="71"/>
      <c r="B46" s="65" t="s">
        <v>147</v>
      </c>
      <c r="C46" s="67" t="s">
        <v>44</v>
      </c>
      <c r="D46" s="67" t="s">
        <v>148</v>
      </c>
      <c r="E46" s="72"/>
    </row>
    <row r="47" ht="15.75" customHeight="1">
      <c r="A47" s="71"/>
      <c r="B47" s="65" t="s">
        <v>149</v>
      </c>
      <c r="C47" s="67" t="s">
        <v>44</v>
      </c>
      <c r="D47" s="67" t="s">
        <v>150</v>
      </c>
      <c r="E47" s="72">
        <v>20.0</v>
      </c>
    </row>
    <row r="48" ht="15.75" customHeight="1">
      <c r="A48" s="71"/>
      <c r="B48" s="65" t="s">
        <v>151</v>
      </c>
      <c r="C48" s="67" t="s">
        <v>44</v>
      </c>
      <c r="D48" s="67" t="s">
        <v>153</v>
      </c>
      <c r="E48" s="72"/>
    </row>
    <row r="49" ht="15.75" customHeight="1">
      <c r="A49" s="71"/>
      <c r="B49" s="65" t="s">
        <v>156</v>
      </c>
      <c r="C49" s="67" t="s">
        <v>33</v>
      </c>
      <c r="D49" s="67" t="s">
        <v>158</v>
      </c>
      <c r="E49" s="72">
        <v>2.0</v>
      </c>
    </row>
    <row r="50" ht="15.75" customHeight="1">
      <c r="A50" s="71"/>
      <c r="B50" s="65" t="s">
        <v>159</v>
      </c>
      <c r="C50" s="67" t="s">
        <v>44</v>
      </c>
      <c r="D50" s="67" t="s">
        <v>160</v>
      </c>
      <c r="E50" s="72">
        <v>2.0</v>
      </c>
    </row>
    <row r="51" ht="15.75" customHeight="1">
      <c r="A51" s="71"/>
      <c r="B51" s="65" t="s">
        <v>161</v>
      </c>
      <c r="C51" s="67" t="s">
        <v>33</v>
      </c>
      <c r="D51" s="67" t="s">
        <v>164</v>
      </c>
      <c r="E51" s="72"/>
    </row>
    <row r="52" ht="15.75" customHeight="1">
      <c r="A52" s="71"/>
      <c r="B52" s="65" t="s">
        <v>166</v>
      </c>
      <c r="C52" s="67" t="s">
        <v>33</v>
      </c>
      <c r="D52" s="67" t="s">
        <v>168</v>
      </c>
      <c r="E52" s="72"/>
    </row>
    <row r="53" ht="15.75" customHeight="1">
      <c r="A53" s="71"/>
      <c r="B53" s="65" t="s">
        <v>169</v>
      </c>
      <c r="C53" s="67" t="s">
        <v>33</v>
      </c>
      <c r="D53" s="67" t="s">
        <v>171</v>
      </c>
      <c r="E53" s="72"/>
    </row>
    <row r="54" ht="15.75" customHeight="1">
      <c r="A54" s="71"/>
      <c r="B54" s="65" t="s">
        <v>173</v>
      </c>
      <c r="C54" s="67" t="s">
        <v>44</v>
      </c>
      <c r="D54" s="67" t="s">
        <v>176</v>
      </c>
      <c r="E54" s="72"/>
    </row>
    <row r="55" ht="15.75" customHeight="1">
      <c r="A55" s="71"/>
      <c r="B55" s="65" t="s">
        <v>177</v>
      </c>
      <c r="C55" s="67" t="s">
        <v>44</v>
      </c>
      <c r="D55" s="67" t="s">
        <v>178</v>
      </c>
      <c r="E55" s="72"/>
    </row>
    <row r="56" ht="15.75" customHeight="1">
      <c r="A56" s="71"/>
      <c r="B56" s="65" t="s">
        <v>180</v>
      </c>
      <c r="C56" s="67" t="s">
        <v>44</v>
      </c>
      <c r="D56" s="67" t="s">
        <v>182</v>
      </c>
      <c r="E56" s="72"/>
    </row>
    <row r="57" ht="15.75" customHeight="1">
      <c r="A57" s="71"/>
      <c r="B57" s="65" t="s">
        <v>183</v>
      </c>
      <c r="C57" s="67" t="s">
        <v>44</v>
      </c>
      <c r="D57" s="67">
        <v>1.4019648E7</v>
      </c>
      <c r="E57" s="72"/>
    </row>
    <row r="58" ht="15.75" customHeight="1">
      <c r="A58" s="71"/>
      <c r="B58" s="65" t="s">
        <v>185</v>
      </c>
      <c r="C58" s="67" t="s">
        <v>44</v>
      </c>
      <c r="D58" s="67">
        <v>1.4021826E7</v>
      </c>
      <c r="E58" s="72"/>
    </row>
    <row r="59" ht="15.75" customHeight="1">
      <c r="A59" s="71"/>
      <c r="B59" s="65" t="s">
        <v>186</v>
      </c>
      <c r="C59" s="67" t="s">
        <v>44</v>
      </c>
      <c r="D59" s="67">
        <v>1.4032588E7</v>
      </c>
      <c r="E59" s="72"/>
    </row>
    <row r="60" ht="15.75" customHeight="1">
      <c r="A60" s="71"/>
      <c r="B60" s="65" t="s">
        <v>187</v>
      </c>
      <c r="C60" s="67" t="s">
        <v>44</v>
      </c>
      <c r="D60" s="67">
        <v>1.4032607E7</v>
      </c>
      <c r="E60" s="72"/>
    </row>
    <row r="61" ht="15.75" customHeight="1">
      <c r="A61" s="71"/>
      <c r="B61" s="65" t="s">
        <v>190</v>
      </c>
      <c r="C61" s="67" t="s">
        <v>44</v>
      </c>
      <c r="D61" s="67">
        <v>1.4032589E7</v>
      </c>
      <c r="E61" s="72"/>
    </row>
    <row r="62" ht="15.75" customHeight="1">
      <c r="A62" s="71"/>
      <c r="B62" s="65" t="s">
        <v>191</v>
      </c>
      <c r="C62" s="67" t="s">
        <v>44</v>
      </c>
      <c r="D62" s="67">
        <v>1.4032608E7</v>
      </c>
      <c r="E62" s="72"/>
    </row>
    <row r="63" ht="15.75" customHeight="1">
      <c r="A63" s="71"/>
      <c r="B63" s="65" t="s">
        <v>193</v>
      </c>
      <c r="C63" s="67" t="s">
        <v>44</v>
      </c>
      <c r="D63" s="67">
        <v>1.403259E7</v>
      </c>
      <c r="E63" s="72"/>
    </row>
    <row r="64" ht="15.75" customHeight="1">
      <c r="A64" s="71"/>
      <c r="B64" s="65" t="s">
        <v>194</v>
      </c>
      <c r="C64" s="67" t="s">
        <v>195</v>
      </c>
      <c r="D64" s="67">
        <v>1.4030678E7</v>
      </c>
      <c r="E64" s="72"/>
    </row>
    <row r="65" ht="15.75" customHeight="1">
      <c r="A65" s="71"/>
      <c r="B65" s="65" t="s">
        <v>197</v>
      </c>
      <c r="C65" s="67" t="s">
        <v>195</v>
      </c>
      <c r="D65" s="67">
        <v>1.4030679E7</v>
      </c>
      <c r="E65" s="72"/>
    </row>
    <row r="66" ht="15.75" customHeight="1">
      <c r="A66" s="71"/>
      <c r="B66" s="65" t="s">
        <v>199</v>
      </c>
      <c r="C66" s="67" t="s">
        <v>195</v>
      </c>
      <c r="D66" s="67">
        <v>1.4031571E7</v>
      </c>
      <c r="E66" s="72"/>
    </row>
    <row r="67" ht="15.75" customHeight="1">
      <c r="A67" s="93"/>
      <c r="B67" s="94" t="s">
        <v>201</v>
      </c>
      <c r="C67" s="96" t="s">
        <v>202</v>
      </c>
      <c r="D67" s="96">
        <v>1.4022945E7</v>
      </c>
      <c r="E67" s="97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B2:C2"/>
    <mergeCell ref="D3:E3"/>
    <mergeCell ref="B4:E4"/>
    <mergeCell ref="A6:A6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78.43"/>
    <col customWidth="1" min="4" max="5" width="12.86"/>
    <col customWidth="1" min="6" max="25" width="9.14"/>
  </cols>
  <sheetData>
    <row r="1" ht="25.5" customHeight="1">
      <c r="A1" s="1" t="s">
        <v>0</v>
      </c>
      <c r="B1" s="1" t="s">
        <v>3</v>
      </c>
      <c r="C1" s="8" t="s">
        <v>5</v>
      </c>
      <c r="D1" s="1" t="s">
        <v>6</v>
      </c>
      <c r="E1" s="15" t="s">
        <v>8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2">
        <v>5.0040873E7</v>
      </c>
      <c r="B2" s="26" t="s">
        <v>14</v>
      </c>
      <c r="C2" s="28" t="s">
        <v>15</v>
      </c>
      <c r="D2" s="30" t="s">
        <v>17</v>
      </c>
      <c r="E2" s="31">
        <v>34.99999999999999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5">
        <v>5.0040874E7</v>
      </c>
      <c r="B3" s="40" t="s">
        <v>18</v>
      </c>
      <c r="C3" s="43" t="s">
        <v>20</v>
      </c>
      <c r="D3" s="45" t="s">
        <v>17</v>
      </c>
      <c r="E3" s="50">
        <v>65.0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5">
        <v>5.0040875E7</v>
      </c>
      <c r="B4" s="40" t="s">
        <v>21</v>
      </c>
      <c r="C4" s="43" t="s">
        <v>22</v>
      </c>
      <c r="D4" s="45" t="s">
        <v>17</v>
      </c>
      <c r="E4" s="50">
        <v>75.0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5">
        <v>5.0040876E7</v>
      </c>
      <c r="B5" s="40" t="s">
        <v>27</v>
      </c>
      <c r="C5" s="43" t="s">
        <v>28</v>
      </c>
      <c r="D5" s="45" t="s">
        <v>17</v>
      </c>
      <c r="E5" s="50">
        <v>105.0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35">
        <v>5.0040877E7</v>
      </c>
      <c r="B6" s="40" t="s">
        <v>30</v>
      </c>
      <c r="C6" s="43" t="s">
        <v>31</v>
      </c>
      <c r="D6" s="45" t="s">
        <v>17</v>
      </c>
      <c r="E6" s="50">
        <v>50.0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5">
        <v>5.0040878E7</v>
      </c>
      <c r="B7" s="40" t="s">
        <v>38</v>
      </c>
      <c r="C7" s="43" t="s">
        <v>39</v>
      </c>
      <c r="D7" s="45" t="s">
        <v>17</v>
      </c>
      <c r="E7" s="50">
        <v>45.0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35">
        <v>5.0040843E7</v>
      </c>
      <c r="B8" s="40" t="s">
        <v>45</v>
      </c>
      <c r="C8" s="43" t="s">
        <v>46</v>
      </c>
      <c r="D8" s="45" t="s">
        <v>17</v>
      </c>
      <c r="E8" s="50">
        <v>80.0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5">
        <v>5.0040844E7</v>
      </c>
      <c r="B9" s="40" t="s">
        <v>52</v>
      </c>
      <c r="C9" s="43" t="s">
        <v>54</v>
      </c>
      <c r="D9" s="45" t="s">
        <v>17</v>
      </c>
      <c r="E9" s="50">
        <v>50.0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5">
        <v>5.0040845E7</v>
      </c>
      <c r="B10" s="40" t="s">
        <v>59</v>
      </c>
      <c r="C10" s="43" t="s">
        <v>60</v>
      </c>
      <c r="D10" s="45" t="s">
        <v>17</v>
      </c>
      <c r="E10" s="50">
        <v>50.0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35">
        <v>5.0040846E7</v>
      </c>
      <c r="B11" s="40" t="s">
        <v>65</v>
      </c>
      <c r="C11" s="43" t="s">
        <v>66</v>
      </c>
      <c r="D11" s="45" t="s">
        <v>17</v>
      </c>
      <c r="E11" s="50">
        <v>270.0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35">
        <v>5.0040847E7</v>
      </c>
      <c r="B12" s="40" t="s">
        <v>73</v>
      </c>
      <c r="C12" s="43" t="s">
        <v>74</v>
      </c>
      <c r="D12" s="45" t="s">
        <v>17</v>
      </c>
      <c r="E12" s="50">
        <v>300.0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35">
        <v>5.0040848E7</v>
      </c>
      <c r="B13" s="40" t="s">
        <v>85</v>
      </c>
      <c r="C13" s="43" t="s">
        <v>87</v>
      </c>
      <c r="D13" s="45" t="s">
        <v>17</v>
      </c>
      <c r="E13" s="50">
        <v>130.0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35">
        <v>5.0040849E7</v>
      </c>
      <c r="B14" s="40" t="s">
        <v>92</v>
      </c>
      <c r="C14" s="43" t="s">
        <v>94</v>
      </c>
      <c r="D14" s="45" t="s">
        <v>17</v>
      </c>
      <c r="E14" s="50">
        <v>429.99999999999994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35">
        <v>5.004085E7</v>
      </c>
      <c r="B15" s="40" t="s">
        <v>101</v>
      </c>
      <c r="C15" s="43" t="s">
        <v>102</v>
      </c>
      <c r="D15" s="45" t="s">
        <v>17</v>
      </c>
      <c r="E15" s="50">
        <v>500.0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35">
        <v>5.004086E7</v>
      </c>
      <c r="B16" s="40" t="s">
        <v>111</v>
      </c>
      <c r="C16" s="43" t="s">
        <v>112</v>
      </c>
      <c r="D16" s="45" t="s">
        <v>17</v>
      </c>
      <c r="E16" s="50">
        <v>600.0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5">
        <v>5.0040871E7</v>
      </c>
      <c r="B17" s="40" t="s">
        <v>122</v>
      </c>
      <c r="C17" s="43" t="s">
        <v>125</v>
      </c>
      <c r="D17" s="45" t="s">
        <v>17</v>
      </c>
      <c r="E17" s="50">
        <v>80.0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35">
        <v>5.0040872E7</v>
      </c>
      <c r="B18" s="40" t="s">
        <v>135</v>
      </c>
      <c r="C18" s="43" t="s">
        <v>136</v>
      </c>
      <c r="D18" s="45" t="s">
        <v>17</v>
      </c>
      <c r="E18" s="50">
        <v>100.0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5">
        <v>5.0040888E7</v>
      </c>
      <c r="B19" s="40" t="s">
        <v>144</v>
      </c>
      <c r="C19" s="43" t="s">
        <v>146</v>
      </c>
      <c r="D19" s="45" t="s">
        <v>17</v>
      </c>
      <c r="E19" s="50">
        <v>150.0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35">
        <v>5.0040889E7</v>
      </c>
      <c r="B20" s="40" t="s">
        <v>155</v>
      </c>
      <c r="C20" s="43" t="s">
        <v>157</v>
      </c>
      <c r="D20" s="45" t="s">
        <v>17</v>
      </c>
      <c r="E20" s="50">
        <v>250.0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35">
        <v>5.004089E7</v>
      </c>
      <c r="B21" s="40" t="s">
        <v>165</v>
      </c>
      <c r="C21" s="43" t="s">
        <v>167</v>
      </c>
      <c r="D21" s="45" t="s">
        <v>17</v>
      </c>
      <c r="E21" s="50">
        <v>350.0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35">
        <v>5.0040891E7</v>
      </c>
      <c r="B22" s="40" t="s">
        <v>174</v>
      </c>
      <c r="C22" s="43" t="s">
        <v>175</v>
      </c>
      <c r="D22" s="45" t="s">
        <v>17</v>
      </c>
      <c r="E22" s="50">
        <v>450.0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35">
        <v>5.0040892E7</v>
      </c>
      <c r="B23" s="40" t="s">
        <v>140</v>
      </c>
      <c r="C23" s="43" t="s">
        <v>142</v>
      </c>
      <c r="D23" s="45" t="s">
        <v>17</v>
      </c>
      <c r="E23" s="50">
        <v>160.0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35">
        <v>5.0040893E7</v>
      </c>
      <c r="B24" s="40" t="s">
        <v>152</v>
      </c>
      <c r="C24" s="43" t="s">
        <v>154</v>
      </c>
      <c r="D24" s="45" t="s">
        <v>17</v>
      </c>
      <c r="E24" s="50">
        <v>270.0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35">
        <v>5.0040894E7</v>
      </c>
      <c r="B25" s="40" t="s">
        <v>162</v>
      </c>
      <c r="C25" s="43" t="s">
        <v>163</v>
      </c>
      <c r="D25" s="45" t="s">
        <v>17</v>
      </c>
      <c r="E25" s="50">
        <v>379.99999999999994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35">
        <v>5.0040895E7</v>
      </c>
      <c r="B26" s="40" t="s">
        <v>170</v>
      </c>
      <c r="C26" s="43" t="s">
        <v>172</v>
      </c>
      <c r="D26" s="45" t="s">
        <v>17</v>
      </c>
      <c r="E26" s="50">
        <v>489.99999999999994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35">
        <v>5.0040879E7</v>
      </c>
      <c r="B27" s="40" t="s">
        <v>206</v>
      </c>
      <c r="C27" s="43" t="s">
        <v>207</v>
      </c>
      <c r="D27" s="45" t="s">
        <v>17</v>
      </c>
      <c r="E27" s="50">
        <v>50.0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35">
        <v>5.004088E7</v>
      </c>
      <c r="B28" s="40" t="s">
        <v>211</v>
      </c>
      <c r="C28" s="43" t="s">
        <v>212</v>
      </c>
      <c r="D28" s="45" t="s">
        <v>17</v>
      </c>
      <c r="E28" s="50">
        <v>100.0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35">
        <v>5.0040881E7</v>
      </c>
      <c r="B29" s="40" t="s">
        <v>217</v>
      </c>
      <c r="C29" s="43" t="s">
        <v>219</v>
      </c>
      <c r="D29" s="45" t="s">
        <v>17</v>
      </c>
      <c r="E29" s="50">
        <v>175.0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35">
        <v>5.0040882E7</v>
      </c>
      <c r="B30" s="40" t="s">
        <v>222</v>
      </c>
      <c r="C30" s="43" t="s">
        <v>223</v>
      </c>
      <c r="D30" s="45" t="s">
        <v>17</v>
      </c>
      <c r="E30" s="50">
        <v>29.999999999999996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35">
        <v>5.0040883E7</v>
      </c>
      <c r="B31" s="40" t="s">
        <v>227</v>
      </c>
      <c r="C31" s="43" t="s">
        <v>228</v>
      </c>
      <c r="D31" s="45" t="s">
        <v>17</v>
      </c>
      <c r="E31" s="50">
        <v>50.0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35">
        <v>5.0040884E7</v>
      </c>
      <c r="B32" s="40" t="s">
        <v>231</v>
      </c>
      <c r="C32" s="43" t="s">
        <v>232</v>
      </c>
      <c r="D32" s="45" t="s">
        <v>17</v>
      </c>
      <c r="E32" s="50">
        <v>65.0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35">
        <v>5.0040885E7</v>
      </c>
      <c r="B33" s="40" t="s">
        <v>235</v>
      </c>
      <c r="C33" s="43" t="s">
        <v>237</v>
      </c>
      <c r="D33" s="45" t="s">
        <v>17</v>
      </c>
      <c r="E33" s="50">
        <v>34.99999999999999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35">
        <v>5.0040886E7</v>
      </c>
      <c r="B34" s="40" t="s">
        <v>239</v>
      </c>
      <c r="C34" s="43" t="s">
        <v>240</v>
      </c>
      <c r="D34" s="45" t="s">
        <v>17</v>
      </c>
      <c r="E34" s="50">
        <v>82.0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35">
        <v>5.0040887E7</v>
      </c>
      <c r="B35" s="40" t="s">
        <v>244</v>
      </c>
      <c r="C35" s="43" t="s">
        <v>245</v>
      </c>
      <c r="D35" s="45" t="s">
        <v>17</v>
      </c>
      <c r="E35" s="50">
        <v>52.0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35">
        <v>5.0040861E7</v>
      </c>
      <c r="B36" s="40" t="s">
        <v>249</v>
      </c>
      <c r="C36" s="43" t="s">
        <v>250</v>
      </c>
      <c r="D36" s="45" t="s">
        <v>202</v>
      </c>
      <c r="E36" s="50">
        <v>119.99999999999999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35">
        <v>5.0040862E7</v>
      </c>
      <c r="B37" s="40" t="s">
        <v>253</v>
      </c>
      <c r="C37" s="43" t="s">
        <v>254</v>
      </c>
      <c r="D37" s="45" t="s">
        <v>202</v>
      </c>
      <c r="E37" s="50">
        <v>200.0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35">
        <v>5.0040863E7</v>
      </c>
      <c r="B38" s="40" t="s">
        <v>257</v>
      </c>
      <c r="C38" s="43" t="s">
        <v>258</v>
      </c>
      <c r="D38" s="45" t="s">
        <v>202</v>
      </c>
      <c r="E38" s="50">
        <v>270.0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35">
        <v>5.0040864E7</v>
      </c>
      <c r="B39" s="40" t="s">
        <v>259</v>
      </c>
      <c r="C39" s="43" t="s">
        <v>260</v>
      </c>
      <c r="D39" s="45" t="s">
        <v>202</v>
      </c>
      <c r="E39" s="50">
        <v>339.99999999999994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35">
        <v>5.0040865E7</v>
      </c>
      <c r="B40" s="40" t="s">
        <v>263</v>
      </c>
      <c r="C40" s="43" t="s">
        <v>264</v>
      </c>
      <c r="D40" s="45" t="s">
        <v>202</v>
      </c>
      <c r="E40" s="50">
        <v>130.0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35">
        <v>5.0040866E7</v>
      </c>
      <c r="B41" s="40" t="s">
        <v>266</v>
      </c>
      <c r="C41" s="43" t="s">
        <v>268</v>
      </c>
      <c r="D41" s="45" t="s">
        <v>202</v>
      </c>
      <c r="E41" s="50">
        <v>219.99999999999997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35">
        <v>5.0040867E7</v>
      </c>
      <c r="B42" s="40" t="s">
        <v>271</v>
      </c>
      <c r="C42" s="43" t="s">
        <v>272</v>
      </c>
      <c r="D42" s="45" t="s">
        <v>202</v>
      </c>
      <c r="E42" s="50">
        <v>300.0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35">
        <v>5.0040868E7</v>
      </c>
      <c r="B43" s="40" t="s">
        <v>276</v>
      </c>
      <c r="C43" s="43" t="s">
        <v>277</v>
      </c>
      <c r="D43" s="45" t="s">
        <v>202</v>
      </c>
      <c r="E43" s="50">
        <v>379.99999999999994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35">
        <v>5.0040869E7</v>
      </c>
      <c r="B44" s="40" t="s">
        <v>280</v>
      </c>
      <c r="C44" s="43" t="s">
        <v>281</v>
      </c>
      <c r="D44" s="45" t="s">
        <v>202</v>
      </c>
      <c r="E44" s="50">
        <v>150.0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35">
        <v>5.004087E7</v>
      </c>
      <c r="B45" s="40" t="s">
        <v>283</v>
      </c>
      <c r="C45" s="43" t="s">
        <v>285</v>
      </c>
      <c r="D45" s="45" t="s">
        <v>202</v>
      </c>
      <c r="E45" s="50">
        <v>100.0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35">
        <v>5.0023989E7</v>
      </c>
      <c r="B46" s="40" t="s">
        <v>288</v>
      </c>
      <c r="C46" s="43" t="s">
        <v>289</v>
      </c>
      <c r="D46" s="45" t="s">
        <v>202</v>
      </c>
      <c r="E46" s="50">
        <v>4.204301075268817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35">
        <v>5.002399E7</v>
      </c>
      <c r="B47" s="40" t="s">
        <v>293</v>
      </c>
      <c r="C47" s="43" t="s">
        <v>294</v>
      </c>
      <c r="D47" s="45" t="s">
        <v>202</v>
      </c>
      <c r="E47" s="50">
        <v>5.903225806451613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35">
        <v>5.0023991E7</v>
      </c>
      <c r="B48" s="40" t="s">
        <v>297</v>
      </c>
      <c r="C48" s="43" t="s">
        <v>298</v>
      </c>
      <c r="D48" s="45" t="s">
        <v>202</v>
      </c>
      <c r="E48" s="50">
        <v>6.795698924731183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35">
        <v>5.0023992E7</v>
      </c>
      <c r="B49" s="40" t="s">
        <v>300</v>
      </c>
      <c r="C49" s="43" t="s">
        <v>301</v>
      </c>
      <c r="D49" s="45" t="s">
        <v>202</v>
      </c>
      <c r="E49" s="50">
        <v>10.5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35">
        <v>5.0023993E7</v>
      </c>
      <c r="B50" s="40" t="s">
        <v>304</v>
      </c>
      <c r="C50" s="43" t="s">
        <v>305</v>
      </c>
      <c r="D50" s="45" t="s">
        <v>306</v>
      </c>
      <c r="E50" s="50">
        <v>8.698924731182796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35">
        <v>5.0023994E7</v>
      </c>
      <c r="B51" s="40" t="s">
        <v>307</v>
      </c>
      <c r="C51" s="43" t="s">
        <v>308</v>
      </c>
      <c r="D51" s="45" t="s">
        <v>202</v>
      </c>
      <c r="E51" s="50">
        <v>183.79569892473117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35">
        <v>5.0023995E7</v>
      </c>
      <c r="B52" s="40" t="s">
        <v>309</v>
      </c>
      <c r="C52" s="43" t="s">
        <v>310</v>
      </c>
      <c r="D52" s="45" t="s">
        <v>202</v>
      </c>
      <c r="E52" s="50">
        <v>220.5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35">
        <v>5.0023996E7</v>
      </c>
      <c r="B53" s="40" t="s">
        <v>311</v>
      </c>
      <c r="C53" s="43" t="s">
        <v>313</v>
      </c>
      <c r="D53" s="45" t="s">
        <v>306</v>
      </c>
      <c r="E53" s="50">
        <v>50.397849462365585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35">
        <v>5.0023997E7</v>
      </c>
      <c r="B54" s="40" t="s">
        <v>316</v>
      </c>
      <c r="C54" s="43" t="s">
        <v>317</v>
      </c>
      <c r="D54" s="45" t="s">
        <v>306</v>
      </c>
      <c r="E54" s="50">
        <v>57.79569892473118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35">
        <v>5.0023998E7</v>
      </c>
      <c r="B55" s="40" t="s">
        <v>320</v>
      </c>
      <c r="C55" s="43" t="s">
        <v>321</v>
      </c>
      <c r="D55" s="45" t="s">
        <v>306</v>
      </c>
      <c r="E55" s="50">
        <v>42.0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35">
        <v>5.0023999E7</v>
      </c>
      <c r="B56" s="40" t="s">
        <v>323</v>
      </c>
      <c r="C56" s="43" t="s">
        <v>324</v>
      </c>
      <c r="D56" s="45" t="s">
        <v>306</v>
      </c>
      <c r="E56" s="50">
        <v>7.5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35">
        <v>5.0024E7</v>
      </c>
      <c r="B57" s="40" t="s">
        <v>328</v>
      </c>
      <c r="C57" s="43" t="s">
        <v>329</v>
      </c>
      <c r="D57" s="45" t="s">
        <v>330</v>
      </c>
      <c r="E57" s="50">
        <v>6.795698924731183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35">
        <v>5.0024001E7</v>
      </c>
      <c r="B58" s="40" t="s">
        <v>333</v>
      </c>
      <c r="C58" s="43" t="s">
        <v>334</v>
      </c>
      <c r="D58" s="45" t="s">
        <v>202</v>
      </c>
      <c r="E58" s="50">
        <v>17.903225806451612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35">
        <v>5.0024002E7</v>
      </c>
      <c r="B59" s="40" t="s">
        <v>337</v>
      </c>
      <c r="C59" s="43" t="s">
        <v>339</v>
      </c>
      <c r="D59" s="45" t="s">
        <v>202</v>
      </c>
      <c r="E59" s="50">
        <v>17.903225806451612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35">
        <v>5.0024003E7</v>
      </c>
      <c r="B60" s="40" t="s">
        <v>341</v>
      </c>
      <c r="C60" s="43" t="s">
        <v>342</v>
      </c>
      <c r="D60" s="45" t="s">
        <v>330</v>
      </c>
      <c r="E60" s="50">
        <v>126.0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35">
        <v>5.0024004E7</v>
      </c>
      <c r="B61" s="40" t="s">
        <v>344</v>
      </c>
      <c r="C61" s="43" t="s">
        <v>346</v>
      </c>
      <c r="D61" s="45" t="s">
        <v>330</v>
      </c>
      <c r="E61" s="50">
        <v>28.39784946236559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35">
        <v>5.0024005E7</v>
      </c>
      <c r="B62" s="40" t="s">
        <v>348</v>
      </c>
      <c r="C62" s="43" t="s">
        <v>349</v>
      </c>
      <c r="D62" s="45" t="s">
        <v>330</v>
      </c>
      <c r="E62" s="50">
        <v>42.0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35">
        <v>5.0024006E7</v>
      </c>
      <c r="B63" s="40" t="s">
        <v>352</v>
      </c>
      <c r="C63" s="43" t="s">
        <v>353</v>
      </c>
      <c r="D63" s="45" t="s">
        <v>330</v>
      </c>
      <c r="E63" s="50">
        <v>18.90322580645161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35">
        <v>5.0024007E7</v>
      </c>
      <c r="B64" s="40" t="s">
        <v>354</v>
      </c>
      <c r="C64" s="43" t="s">
        <v>356</v>
      </c>
      <c r="D64" s="45" t="s">
        <v>330</v>
      </c>
      <c r="E64" s="50">
        <v>26.795698924731184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35">
        <v>5.0024008E7</v>
      </c>
      <c r="B65" s="40" t="s">
        <v>358</v>
      </c>
      <c r="C65" s="43" t="s">
        <v>359</v>
      </c>
      <c r="D65" s="45" t="s">
        <v>330</v>
      </c>
      <c r="E65" s="50">
        <v>20.494623655913976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35">
        <v>5.0024009E7</v>
      </c>
      <c r="B66" s="40" t="s">
        <v>361</v>
      </c>
      <c r="C66" s="43" t="s">
        <v>362</v>
      </c>
      <c r="D66" s="45" t="s">
        <v>330</v>
      </c>
      <c r="E66" s="50">
        <v>7.903225806451612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35">
        <v>5.002401E7</v>
      </c>
      <c r="B67" s="40" t="s">
        <v>365</v>
      </c>
      <c r="C67" s="43" t="s">
        <v>366</v>
      </c>
      <c r="D67" s="45" t="s">
        <v>330</v>
      </c>
      <c r="E67" s="50">
        <v>42.0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35">
        <v>5.0024011E7</v>
      </c>
      <c r="B68" s="40" t="s">
        <v>368</v>
      </c>
      <c r="C68" s="43" t="s">
        <v>370</v>
      </c>
      <c r="D68" s="45" t="s">
        <v>17</v>
      </c>
      <c r="E68" s="50">
        <v>6466.698924731182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35">
        <v>5.0024012E7</v>
      </c>
      <c r="B69" s="40" t="s">
        <v>373</v>
      </c>
      <c r="C69" s="43" t="s">
        <v>374</v>
      </c>
      <c r="D69" s="45" t="s">
        <v>17</v>
      </c>
      <c r="E69" s="50">
        <v>1293.3010752688172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35">
        <v>5.0024013E7</v>
      </c>
      <c r="B70" s="40" t="s">
        <v>378</v>
      </c>
      <c r="C70" s="43" t="s">
        <v>379</v>
      </c>
      <c r="D70" s="45" t="s">
        <v>17</v>
      </c>
      <c r="E70" s="50">
        <v>2690.0967741935483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35">
        <v>5.0024014E7</v>
      </c>
      <c r="B71" s="40" t="s">
        <v>382</v>
      </c>
      <c r="C71" s="43" t="s">
        <v>383</v>
      </c>
      <c r="D71" s="45" t="s">
        <v>17</v>
      </c>
      <c r="E71" s="50">
        <v>2408.6989247311826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35">
        <v>5.0024015E7</v>
      </c>
      <c r="B72" s="40" t="s">
        <v>387</v>
      </c>
      <c r="C72" s="43" t="s">
        <v>388</v>
      </c>
      <c r="D72" s="45" t="s">
        <v>17</v>
      </c>
      <c r="E72" s="50">
        <v>3205.6989247311826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35">
        <v>5.0024016E7</v>
      </c>
      <c r="B73" s="40" t="s">
        <v>390</v>
      </c>
      <c r="C73" s="43" t="s">
        <v>391</v>
      </c>
      <c r="D73" s="45" t="s">
        <v>17</v>
      </c>
      <c r="E73" s="50">
        <v>2924.301075268817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35">
        <v>5.0024017E7</v>
      </c>
      <c r="B74" s="40" t="s">
        <v>395</v>
      </c>
      <c r="C74" s="43" t="s">
        <v>396</v>
      </c>
      <c r="D74" s="45" t="s">
        <v>17</v>
      </c>
      <c r="E74" s="50">
        <v>107.09677419354837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35">
        <v>5.0024018E7</v>
      </c>
      <c r="B75" s="40" t="s">
        <v>398</v>
      </c>
      <c r="C75" s="43" t="s">
        <v>400</v>
      </c>
      <c r="D75" s="45" t="s">
        <v>17</v>
      </c>
      <c r="E75" s="50">
        <v>85.6989247311828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35">
        <v>5.0024019E7</v>
      </c>
      <c r="B76" s="40" t="s">
        <v>402</v>
      </c>
      <c r="C76" s="43" t="s">
        <v>403</v>
      </c>
      <c r="D76" s="45" t="s">
        <v>17</v>
      </c>
      <c r="E76" s="50">
        <v>64.3010752688172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35">
        <v>5.002402E7</v>
      </c>
      <c r="B77" s="40" t="s">
        <v>407</v>
      </c>
      <c r="C77" s="43" t="s">
        <v>408</v>
      </c>
      <c r="D77" s="45" t="s">
        <v>17</v>
      </c>
      <c r="E77" s="50">
        <v>53.60215053763441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35">
        <v>5.0024021E7</v>
      </c>
      <c r="B78" s="40" t="s">
        <v>411</v>
      </c>
      <c r="C78" s="43" t="s">
        <v>413</v>
      </c>
      <c r="D78" s="45" t="s">
        <v>17</v>
      </c>
      <c r="E78" s="50">
        <v>42.90322580645161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35">
        <v>5.0024022E7</v>
      </c>
      <c r="B79" s="40" t="s">
        <v>416</v>
      </c>
      <c r="C79" s="43" t="s">
        <v>417</v>
      </c>
      <c r="D79" s="45" t="s">
        <v>17</v>
      </c>
      <c r="E79" s="50">
        <v>34.3010752688172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35">
        <v>5.0024023E7</v>
      </c>
      <c r="B80" s="40" t="s">
        <v>420</v>
      </c>
      <c r="C80" s="43" t="s">
        <v>421</v>
      </c>
      <c r="D80" s="45" t="s">
        <v>17</v>
      </c>
      <c r="E80" s="50">
        <v>25.79569892473118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35">
        <v>5.0024024E7</v>
      </c>
      <c r="B81" s="40" t="s">
        <v>424</v>
      </c>
      <c r="C81" s="43" t="s">
        <v>425</v>
      </c>
      <c r="D81" s="45" t="s">
        <v>17</v>
      </c>
      <c r="E81" s="50">
        <v>18.90322580645161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35">
        <v>5.0024025E7</v>
      </c>
      <c r="B82" s="40" t="s">
        <v>428</v>
      </c>
      <c r="C82" s="43" t="s">
        <v>429</v>
      </c>
      <c r="D82" s="45" t="s">
        <v>17</v>
      </c>
      <c r="E82" s="50">
        <v>7.096774193548386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35">
        <v>5.0024026E7</v>
      </c>
      <c r="B83" s="40" t="s">
        <v>431</v>
      </c>
      <c r="C83" s="43" t="s">
        <v>432</v>
      </c>
      <c r="D83" s="45" t="s">
        <v>17</v>
      </c>
      <c r="E83" s="50">
        <v>12.795698924731182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35">
        <v>5.0024027E7</v>
      </c>
      <c r="B84" s="40" t="s">
        <v>433</v>
      </c>
      <c r="C84" s="43" t="s">
        <v>434</v>
      </c>
      <c r="D84" s="45" t="s">
        <v>17</v>
      </c>
      <c r="E84" s="50">
        <v>19.096774193548388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35">
        <v>5.0024028E7</v>
      </c>
      <c r="B85" s="40" t="s">
        <v>435</v>
      </c>
      <c r="C85" s="43" t="s">
        <v>436</v>
      </c>
      <c r="D85" s="45" t="s">
        <v>17</v>
      </c>
      <c r="E85" s="50">
        <v>28.5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35">
        <v>5.0024029E7</v>
      </c>
      <c r="B86" s="40" t="s">
        <v>437</v>
      </c>
      <c r="C86" s="43" t="s">
        <v>438</v>
      </c>
      <c r="D86" s="45" t="s">
        <v>17</v>
      </c>
      <c r="E86" s="50">
        <v>38.096774193548384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35">
        <v>5.002403E7</v>
      </c>
      <c r="B87" s="40" t="s">
        <v>439</v>
      </c>
      <c r="C87" s="43" t="s">
        <v>440</v>
      </c>
      <c r="D87" s="45" t="s">
        <v>17</v>
      </c>
      <c r="E87" s="50">
        <v>47.494623655913976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35">
        <v>5.0024031E7</v>
      </c>
      <c r="B88" s="40" t="s">
        <v>441</v>
      </c>
      <c r="C88" s="43" t="s">
        <v>442</v>
      </c>
      <c r="D88" s="45" t="s">
        <v>17</v>
      </c>
      <c r="E88" s="50">
        <v>4.0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35">
        <v>5.0024032E7</v>
      </c>
      <c r="B89" s="40" t="s">
        <v>445</v>
      </c>
      <c r="C89" s="43" t="s">
        <v>446</v>
      </c>
      <c r="D89" s="45" t="s">
        <v>17</v>
      </c>
      <c r="E89" s="50">
        <v>6.204301075268816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35">
        <v>5.0024033E7</v>
      </c>
      <c r="B90" s="40" t="s">
        <v>448</v>
      </c>
      <c r="C90" s="43" t="s">
        <v>449</v>
      </c>
      <c r="D90" s="45" t="s">
        <v>17</v>
      </c>
      <c r="E90" s="50">
        <v>9.698924731182794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35">
        <v>5.0024034E7</v>
      </c>
      <c r="B91" s="40" t="s">
        <v>453</v>
      </c>
      <c r="C91" s="43" t="s">
        <v>454</v>
      </c>
      <c r="D91" s="45" t="s">
        <v>17</v>
      </c>
      <c r="E91" s="50">
        <v>14.602150537634408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5">
        <v>5.0024035E7</v>
      </c>
      <c r="B92" s="40" t="s">
        <v>455</v>
      </c>
      <c r="C92" s="43" t="s">
        <v>456</v>
      </c>
      <c r="D92" s="45" t="s">
        <v>17</v>
      </c>
      <c r="E92" s="50">
        <v>19.39784946236559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35">
        <v>5.0024036E7</v>
      </c>
      <c r="B93" s="40" t="s">
        <v>460</v>
      </c>
      <c r="C93" s="43" t="s">
        <v>461</v>
      </c>
      <c r="D93" s="45" t="s">
        <v>17</v>
      </c>
      <c r="E93" s="50">
        <v>24.602150537634405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35">
        <v>5.0024037E7</v>
      </c>
      <c r="B94" s="40" t="s">
        <v>464</v>
      </c>
      <c r="C94" s="43" t="s">
        <v>465</v>
      </c>
      <c r="D94" s="45" t="s">
        <v>17</v>
      </c>
      <c r="E94" s="50">
        <v>62.69892473118279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35">
        <v>5.0024038E7</v>
      </c>
      <c r="B95" s="40" t="s">
        <v>468</v>
      </c>
      <c r="C95" s="43" t="s">
        <v>469</v>
      </c>
      <c r="D95" s="45" t="s">
        <v>306</v>
      </c>
      <c r="E95" s="50">
        <v>70.39784946236558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35">
        <v>5.0024039E7</v>
      </c>
      <c r="B96" s="40" t="s">
        <v>470</v>
      </c>
      <c r="C96" s="43" t="s">
        <v>471</v>
      </c>
      <c r="D96" s="45" t="s">
        <v>202</v>
      </c>
      <c r="E96" s="50">
        <v>199.5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35">
        <v>5.002404E7</v>
      </c>
      <c r="B97" s="40" t="s">
        <v>474</v>
      </c>
      <c r="C97" s="43" t="s">
        <v>475</v>
      </c>
      <c r="D97" s="45" t="s">
        <v>330</v>
      </c>
      <c r="E97" s="50">
        <v>18.90322580645161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35">
        <v>5.0024041E7</v>
      </c>
      <c r="B98" s="40" t="s">
        <v>479</v>
      </c>
      <c r="C98" s="43" t="s">
        <v>480</v>
      </c>
      <c r="D98" s="45" t="s">
        <v>17</v>
      </c>
      <c r="E98" s="50">
        <v>18.90322580645161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35">
        <v>5.0024042E7</v>
      </c>
      <c r="B99" s="40" t="s">
        <v>482</v>
      </c>
      <c r="C99" s="43" t="s">
        <v>483</v>
      </c>
      <c r="D99" s="45" t="s">
        <v>17</v>
      </c>
      <c r="E99" s="50">
        <v>62.69892473118279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35">
        <v>5.0024043E7</v>
      </c>
      <c r="B100" s="40" t="s">
        <v>486</v>
      </c>
      <c r="C100" s="43" t="s">
        <v>487</v>
      </c>
      <c r="D100" s="45" t="s">
        <v>17</v>
      </c>
      <c r="E100" s="50">
        <v>13.602150537634408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35">
        <v>5.0024044E7</v>
      </c>
      <c r="B101" s="40" t="s">
        <v>489</v>
      </c>
      <c r="C101" s="43" t="s">
        <v>491</v>
      </c>
      <c r="D101" s="45" t="s">
        <v>202</v>
      </c>
      <c r="E101" s="50">
        <v>5.698924731182795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35">
        <v>5.0024045E7</v>
      </c>
      <c r="B102" s="40" t="s">
        <v>493</v>
      </c>
      <c r="C102" s="43" t="s">
        <v>494</v>
      </c>
      <c r="D102" s="45" t="s">
        <v>330</v>
      </c>
      <c r="E102" s="50">
        <v>8.903225806451612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35">
        <v>5.0024046E7</v>
      </c>
      <c r="B103" s="40" t="s">
        <v>496</v>
      </c>
      <c r="C103" s="43" t="s">
        <v>498</v>
      </c>
      <c r="D103" s="45" t="s">
        <v>202</v>
      </c>
      <c r="E103" s="50">
        <v>36.79569892473118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35">
        <v>5.0024047E7</v>
      </c>
      <c r="B104" s="40" t="s">
        <v>499</v>
      </c>
      <c r="C104" s="43" t="s">
        <v>500</v>
      </c>
      <c r="D104" s="45" t="s">
        <v>330</v>
      </c>
      <c r="E104" s="50">
        <v>2.4408602150537635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35">
        <v>5.002405E7</v>
      </c>
      <c r="B105" s="40" t="s">
        <v>503</v>
      </c>
      <c r="C105" s="43" t="s">
        <v>505</v>
      </c>
      <c r="D105" s="45" t="s">
        <v>202</v>
      </c>
      <c r="E105" s="50">
        <v>1.6021505376344085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35">
        <v>5.0024048E7</v>
      </c>
      <c r="B106" s="40" t="s">
        <v>508</v>
      </c>
      <c r="C106" s="43" t="s">
        <v>509</v>
      </c>
      <c r="D106" s="45" t="s">
        <v>17</v>
      </c>
      <c r="E106" s="50">
        <v>7.397849462365591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35">
        <v>5.0024049E7</v>
      </c>
      <c r="B107" s="40" t="s">
        <v>512</v>
      </c>
      <c r="C107" s="43" t="s">
        <v>513</v>
      </c>
      <c r="D107" s="45" t="s">
        <v>17</v>
      </c>
      <c r="E107" s="50">
        <v>17.397849462365592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35">
        <v>5.0024051E7</v>
      </c>
      <c r="B108" s="40" t="s">
        <v>515</v>
      </c>
      <c r="C108" s="43" t="s">
        <v>516</v>
      </c>
      <c r="D108" s="45" t="s">
        <v>17</v>
      </c>
      <c r="E108" s="50">
        <v>50.69892473118279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35">
        <v>5.002406E7</v>
      </c>
      <c r="B109" s="40" t="s">
        <v>518</v>
      </c>
      <c r="C109" s="43" t="s">
        <v>519</v>
      </c>
      <c r="D109" s="45" t="s">
        <v>17</v>
      </c>
      <c r="E109" s="50">
        <v>185.69892473118279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35">
        <v>5.0024061E7</v>
      </c>
      <c r="B110" s="40" t="s">
        <v>523</v>
      </c>
      <c r="C110" s="43" t="s">
        <v>524</v>
      </c>
      <c r="D110" s="45" t="s">
        <v>17</v>
      </c>
      <c r="E110" s="50">
        <v>219.09677419354836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35">
        <v>5.0024062E7</v>
      </c>
      <c r="B111" s="40" t="s">
        <v>527</v>
      </c>
      <c r="C111" s="43" t="s">
        <v>528</v>
      </c>
      <c r="D111" s="45" t="s">
        <v>17</v>
      </c>
      <c r="E111" s="50">
        <v>245.3010752688172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35">
        <v>5.0024063E7</v>
      </c>
      <c r="B112" s="40" t="s">
        <v>532</v>
      </c>
      <c r="C112" s="43" t="s">
        <v>533</v>
      </c>
      <c r="D112" s="45" t="s">
        <v>17</v>
      </c>
      <c r="E112" s="50">
        <v>285.7956989247312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35">
        <v>5.0024064E7</v>
      </c>
      <c r="B113" s="40" t="s">
        <v>535</v>
      </c>
      <c r="C113" s="43" t="s">
        <v>536</v>
      </c>
      <c r="D113" s="45" t="s">
        <v>17</v>
      </c>
      <c r="E113" s="50">
        <v>307.6021505376344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35">
        <v>5.0024065E7</v>
      </c>
      <c r="B114" s="40" t="s">
        <v>539</v>
      </c>
      <c r="C114" s="43" t="s">
        <v>541</v>
      </c>
      <c r="D114" s="45" t="s">
        <v>17</v>
      </c>
      <c r="E114" s="50">
        <v>358.6021505376344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35">
        <v>5.0024066E7</v>
      </c>
      <c r="B115" s="40" t="s">
        <v>542</v>
      </c>
      <c r="C115" s="43" t="s">
        <v>543</v>
      </c>
      <c r="D115" s="45" t="s">
        <v>17</v>
      </c>
      <c r="E115" s="50">
        <v>402.39784946236557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35">
        <v>5.0024067E7</v>
      </c>
      <c r="B116" s="40" t="s">
        <v>544</v>
      </c>
      <c r="C116" s="43" t="s">
        <v>545</v>
      </c>
      <c r="D116" s="45" t="s">
        <v>17</v>
      </c>
      <c r="E116" s="50">
        <v>460.7956989247312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35">
        <v>5.0024052E7</v>
      </c>
      <c r="B117" s="40" t="s">
        <v>547</v>
      </c>
      <c r="C117" s="43" t="s">
        <v>549</v>
      </c>
      <c r="D117" s="45" t="s">
        <v>17</v>
      </c>
      <c r="E117" s="50">
        <v>56.5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35">
        <v>5.0024053E7</v>
      </c>
      <c r="B118" s="40" t="s">
        <v>551</v>
      </c>
      <c r="C118" s="43" t="s">
        <v>552</v>
      </c>
      <c r="D118" s="45" t="s">
        <v>17</v>
      </c>
      <c r="E118" s="50">
        <v>62.3010752688172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35">
        <v>5.0024054E7</v>
      </c>
      <c r="B119" s="40" t="s">
        <v>555</v>
      </c>
      <c r="C119" s="43" t="s">
        <v>556</v>
      </c>
      <c r="D119" s="45" t="s">
        <v>17</v>
      </c>
      <c r="E119" s="50">
        <v>68.9032258064516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35">
        <v>5.0024055E7</v>
      </c>
      <c r="B120" s="40" t="s">
        <v>558</v>
      </c>
      <c r="C120" s="43" t="s">
        <v>560</v>
      </c>
      <c r="D120" s="45" t="s">
        <v>17</v>
      </c>
      <c r="E120" s="50">
        <v>78.39784946236558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35">
        <v>5.0024056E7</v>
      </c>
      <c r="B121" s="40" t="s">
        <v>562</v>
      </c>
      <c r="C121" s="43" t="s">
        <v>564</v>
      </c>
      <c r="D121" s="45" t="s">
        <v>17</v>
      </c>
      <c r="E121" s="50">
        <v>94.3978494623656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35">
        <v>5.0024057E7</v>
      </c>
      <c r="B122" s="40" t="s">
        <v>565</v>
      </c>
      <c r="C122" s="43" t="s">
        <v>566</v>
      </c>
      <c r="D122" s="45" t="s">
        <v>17</v>
      </c>
      <c r="E122" s="50">
        <v>119.0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35">
        <v>5.0024058E7</v>
      </c>
      <c r="B123" s="40" t="s">
        <v>569</v>
      </c>
      <c r="C123" s="43" t="s">
        <v>570</v>
      </c>
      <c r="D123" s="45" t="s">
        <v>17</v>
      </c>
      <c r="E123" s="50">
        <v>133.6021505376344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35">
        <v>5.0024059E7</v>
      </c>
      <c r="B124" s="40" t="s">
        <v>573</v>
      </c>
      <c r="C124" s="43" t="s">
        <v>574</v>
      </c>
      <c r="D124" s="45" t="s">
        <v>17</v>
      </c>
      <c r="E124" s="50">
        <v>153.9032258064516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35">
        <v>5.0024068E7</v>
      </c>
      <c r="B125" s="40" t="s">
        <v>575</v>
      </c>
      <c r="C125" s="43" t="s">
        <v>576</v>
      </c>
      <c r="D125" s="45" t="s">
        <v>17</v>
      </c>
      <c r="E125" s="50">
        <v>72.6021505376344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35">
        <v>5.0024069E7</v>
      </c>
      <c r="B126" s="40" t="s">
        <v>579</v>
      </c>
      <c r="C126" s="43" t="s">
        <v>580</v>
      </c>
      <c r="D126" s="45" t="s">
        <v>17</v>
      </c>
      <c r="E126" s="50">
        <v>79.79569892473117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35">
        <v>5.002407E7</v>
      </c>
      <c r="B127" s="40" t="s">
        <v>584</v>
      </c>
      <c r="C127" s="43" t="s">
        <v>585</v>
      </c>
      <c r="D127" s="45" t="s">
        <v>17</v>
      </c>
      <c r="E127" s="50">
        <v>88.69892473118279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35">
        <v>5.0024071E7</v>
      </c>
      <c r="B128" s="40" t="s">
        <v>588</v>
      </c>
      <c r="C128" s="43" t="s">
        <v>589</v>
      </c>
      <c r="D128" s="45" t="s">
        <v>17</v>
      </c>
      <c r="E128" s="50">
        <v>100.3010752688172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35">
        <v>5.0024072E7</v>
      </c>
      <c r="B129" s="40" t="s">
        <v>591</v>
      </c>
      <c r="C129" s="43" t="s">
        <v>592</v>
      </c>
      <c r="D129" s="45" t="s">
        <v>17</v>
      </c>
      <c r="E129" s="50">
        <v>113.39784946236558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35">
        <v>5.0024073E7</v>
      </c>
      <c r="B130" s="40" t="s">
        <v>594</v>
      </c>
      <c r="C130" s="43" t="s">
        <v>595</v>
      </c>
      <c r="D130" s="45" t="s">
        <v>17</v>
      </c>
      <c r="E130" s="50">
        <v>136.5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35">
        <v>5.0024074E7</v>
      </c>
      <c r="B131" s="40" t="s">
        <v>596</v>
      </c>
      <c r="C131" s="43" t="s">
        <v>597</v>
      </c>
      <c r="D131" s="45" t="s">
        <v>17</v>
      </c>
      <c r="E131" s="50">
        <v>168.5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35">
        <v>5.0024075E7</v>
      </c>
      <c r="B132" s="40" t="s">
        <v>599</v>
      </c>
      <c r="C132" s="43" t="s">
        <v>600</v>
      </c>
      <c r="D132" s="45" t="s">
        <v>17</v>
      </c>
      <c r="E132" s="50">
        <v>21.903225806451612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35">
        <v>5.0024084E7</v>
      </c>
      <c r="B133" s="40" t="s">
        <v>601</v>
      </c>
      <c r="C133" s="43" t="s">
        <v>602</v>
      </c>
      <c r="D133" s="45" t="s">
        <v>17</v>
      </c>
      <c r="E133" s="50">
        <v>124.09677419354837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35">
        <v>5.0024085E7</v>
      </c>
      <c r="B134" s="40" t="s">
        <v>603</v>
      </c>
      <c r="C134" s="43" t="s">
        <v>604</v>
      </c>
      <c r="D134" s="45" t="s">
        <v>17</v>
      </c>
      <c r="E134" s="50">
        <v>153.2043010752688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35">
        <v>5.0024086E7</v>
      </c>
      <c r="B135" s="40" t="s">
        <v>607</v>
      </c>
      <c r="C135" s="43" t="s">
        <v>608</v>
      </c>
      <c r="D135" s="45" t="s">
        <v>17</v>
      </c>
      <c r="E135" s="50">
        <v>182.39784946236557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35">
        <v>5.0024087E7</v>
      </c>
      <c r="B136" s="40" t="s">
        <v>609</v>
      </c>
      <c r="C136" s="43" t="s">
        <v>610</v>
      </c>
      <c r="D136" s="45" t="s">
        <v>17</v>
      </c>
      <c r="E136" s="50">
        <v>211.6021505376344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35">
        <v>5.0024088E7</v>
      </c>
      <c r="B137" s="40" t="s">
        <v>612</v>
      </c>
      <c r="C137" s="43" t="s">
        <v>613</v>
      </c>
      <c r="D137" s="45" t="s">
        <v>17</v>
      </c>
      <c r="E137" s="50">
        <v>240.69892473118279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35">
        <v>5.0024089E7</v>
      </c>
      <c r="B138" s="40" t="s">
        <v>615</v>
      </c>
      <c r="C138" s="43" t="s">
        <v>616</v>
      </c>
      <c r="D138" s="45" t="s">
        <v>17</v>
      </c>
      <c r="E138" s="50">
        <v>277.2043010752688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35">
        <v>5.002409E7</v>
      </c>
      <c r="B139" s="40" t="s">
        <v>618</v>
      </c>
      <c r="C139" s="43" t="s">
        <v>619</v>
      </c>
      <c r="D139" s="45" t="s">
        <v>17</v>
      </c>
      <c r="E139" s="50">
        <v>320.99999999999994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35">
        <v>5.0024091E7</v>
      </c>
      <c r="B140" s="40" t="s">
        <v>621</v>
      </c>
      <c r="C140" s="43" t="s">
        <v>622</v>
      </c>
      <c r="D140" s="45" t="s">
        <v>17</v>
      </c>
      <c r="E140" s="50">
        <v>379.30107526881716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35">
        <v>5.0024076E7</v>
      </c>
      <c r="B141" s="40" t="s">
        <v>624</v>
      </c>
      <c r="C141" s="43" t="s">
        <v>625</v>
      </c>
      <c r="D141" s="45" t="s">
        <v>17</v>
      </c>
      <c r="E141" s="50">
        <v>26.301075268817204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35">
        <v>5.0024077E7</v>
      </c>
      <c r="B142" s="40" t="s">
        <v>627</v>
      </c>
      <c r="C142" s="43" t="s">
        <v>628</v>
      </c>
      <c r="D142" s="45" t="s">
        <v>17</v>
      </c>
      <c r="E142" s="50">
        <v>30.698924731182796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35">
        <v>5.0024078E7</v>
      </c>
      <c r="B143" s="40" t="s">
        <v>630</v>
      </c>
      <c r="C143" s="43" t="s">
        <v>631</v>
      </c>
      <c r="D143" s="45" t="s">
        <v>17</v>
      </c>
      <c r="E143" s="50">
        <v>35.6989247311828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35">
        <v>5.0024079E7</v>
      </c>
      <c r="B144" s="40" t="s">
        <v>632</v>
      </c>
      <c r="C144" s="43" t="s">
        <v>634</v>
      </c>
      <c r="D144" s="45" t="s">
        <v>17</v>
      </c>
      <c r="E144" s="50">
        <v>43.79569892473118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35">
        <v>5.002408E7</v>
      </c>
      <c r="B145" s="40" t="s">
        <v>636</v>
      </c>
      <c r="C145" s="43" t="s">
        <v>637</v>
      </c>
      <c r="D145" s="45" t="s">
        <v>17</v>
      </c>
      <c r="E145" s="50">
        <v>56.99999999999999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35">
        <v>5.0024081E7</v>
      </c>
      <c r="B146" s="40" t="s">
        <v>639</v>
      </c>
      <c r="C146" s="43" t="s">
        <v>640</v>
      </c>
      <c r="D146" s="45" t="s">
        <v>17</v>
      </c>
      <c r="E146" s="50">
        <v>74.49462365591397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35">
        <v>5.0024082E7</v>
      </c>
      <c r="B147" s="40" t="s">
        <v>642</v>
      </c>
      <c r="C147" s="43" t="s">
        <v>643</v>
      </c>
      <c r="D147" s="45" t="s">
        <v>17</v>
      </c>
      <c r="E147" s="50">
        <v>87.6021505376344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35">
        <v>5.0024083E7</v>
      </c>
      <c r="B148" s="40" t="s">
        <v>645</v>
      </c>
      <c r="C148" s="43" t="s">
        <v>646</v>
      </c>
      <c r="D148" s="45" t="s">
        <v>17</v>
      </c>
      <c r="E148" s="50">
        <v>102.2043010752688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35">
        <v>5.0024092E7</v>
      </c>
      <c r="B149" s="40" t="s">
        <v>648</v>
      </c>
      <c r="C149" s="43" t="s">
        <v>649</v>
      </c>
      <c r="D149" s="45" t="s">
        <v>17</v>
      </c>
      <c r="E149" s="50">
        <v>43.79569892473118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35">
        <v>5.0024093E7</v>
      </c>
      <c r="B150" s="40" t="s">
        <v>651</v>
      </c>
      <c r="C150" s="43" t="s">
        <v>652</v>
      </c>
      <c r="D150" s="45" t="s">
        <v>17</v>
      </c>
      <c r="E150" s="50">
        <v>51.096774193548384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35">
        <v>5.0024094E7</v>
      </c>
      <c r="B151" s="40" t="s">
        <v>654</v>
      </c>
      <c r="C151" s="43" t="s">
        <v>655</v>
      </c>
      <c r="D151" s="45" t="s">
        <v>17</v>
      </c>
      <c r="E151" s="50">
        <v>58.39784946236559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35">
        <v>5.0024095E7</v>
      </c>
      <c r="B152" s="40" t="s">
        <v>657</v>
      </c>
      <c r="C152" s="43" t="s">
        <v>658</v>
      </c>
      <c r="D152" s="45" t="s">
        <v>17</v>
      </c>
      <c r="E152" s="50">
        <v>65.6989247311828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35">
        <v>5.0024096E7</v>
      </c>
      <c r="B153" s="40" t="s">
        <v>660</v>
      </c>
      <c r="C153" s="43" t="s">
        <v>661</v>
      </c>
      <c r="D153" s="45" t="s">
        <v>17</v>
      </c>
      <c r="E153" s="50">
        <v>77.3010752688172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35">
        <v>5.0024097E7</v>
      </c>
      <c r="B154" s="40" t="s">
        <v>663</v>
      </c>
      <c r="C154" s="43" t="s">
        <v>664</v>
      </c>
      <c r="D154" s="45" t="s">
        <v>17</v>
      </c>
      <c r="E154" s="50">
        <v>94.90322580645162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35">
        <v>5.0024098E7</v>
      </c>
      <c r="B155" s="40" t="s">
        <v>666</v>
      </c>
      <c r="C155" s="43" t="s">
        <v>667</v>
      </c>
      <c r="D155" s="45" t="s">
        <v>17</v>
      </c>
      <c r="E155" s="50">
        <v>120.39784946236558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35">
        <v>5.0024099E7</v>
      </c>
      <c r="B156" s="40" t="s">
        <v>669</v>
      </c>
      <c r="C156" s="43" t="s">
        <v>671</v>
      </c>
      <c r="D156" s="45" t="s">
        <v>17</v>
      </c>
      <c r="E156" s="50">
        <v>19.096774193548388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35">
        <v>5.0024108E7</v>
      </c>
      <c r="B157" s="40" t="s">
        <v>673</v>
      </c>
      <c r="C157" s="43" t="s">
        <v>674</v>
      </c>
      <c r="D157" s="45" t="s">
        <v>17</v>
      </c>
      <c r="E157" s="50">
        <v>102.2043010752688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35">
        <v>5.00241E7</v>
      </c>
      <c r="B158" s="40" t="s">
        <v>676</v>
      </c>
      <c r="C158" s="43" t="s">
        <v>677</v>
      </c>
      <c r="D158" s="45" t="s">
        <v>17</v>
      </c>
      <c r="E158" s="50">
        <v>21.3010752688172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35">
        <v>5.0024101E7</v>
      </c>
      <c r="B159" s="40" t="s">
        <v>679</v>
      </c>
      <c r="C159" s="43" t="s">
        <v>680</v>
      </c>
      <c r="D159" s="45" t="s">
        <v>17</v>
      </c>
      <c r="E159" s="50">
        <v>23.397849462365592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35">
        <v>5.0024102E7</v>
      </c>
      <c r="B160" s="40" t="s">
        <v>682</v>
      </c>
      <c r="C160" s="43" t="s">
        <v>683</v>
      </c>
      <c r="D160" s="45" t="s">
        <v>17</v>
      </c>
      <c r="E160" s="50">
        <v>29.204301075268816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35">
        <v>5.0024103E7</v>
      </c>
      <c r="B161" s="40" t="s">
        <v>685</v>
      </c>
      <c r="C161" s="43" t="s">
        <v>686</v>
      </c>
      <c r="D161" s="45" t="s">
        <v>17</v>
      </c>
      <c r="E161" s="50">
        <v>36.494623655913976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35">
        <v>5.0024104E7</v>
      </c>
      <c r="B162" s="40" t="s">
        <v>688</v>
      </c>
      <c r="C162" s="43" t="s">
        <v>689</v>
      </c>
      <c r="D162" s="45" t="s">
        <v>17</v>
      </c>
      <c r="E162" s="50">
        <v>43.79569892473118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35">
        <v>5.0024105E7</v>
      </c>
      <c r="B163" s="40" t="s">
        <v>691</v>
      </c>
      <c r="C163" s="43" t="s">
        <v>693</v>
      </c>
      <c r="D163" s="45" t="s">
        <v>17</v>
      </c>
      <c r="E163" s="50">
        <v>51.096774193548384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35">
        <v>5.0024106E7</v>
      </c>
      <c r="B164" s="40" t="s">
        <v>695</v>
      </c>
      <c r="C164" s="43" t="s">
        <v>696</v>
      </c>
      <c r="D164" s="45" t="s">
        <v>17</v>
      </c>
      <c r="E164" s="50">
        <v>62.79569892473118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35">
        <v>5.0024107E7</v>
      </c>
      <c r="B165" s="40" t="s">
        <v>698</v>
      </c>
      <c r="C165" s="43" t="s">
        <v>699</v>
      </c>
      <c r="D165" s="45" t="s">
        <v>17</v>
      </c>
      <c r="E165" s="50">
        <v>80.3010752688172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35">
        <v>5.0024109E7</v>
      </c>
      <c r="B166" s="40" t="s">
        <v>701</v>
      </c>
      <c r="C166" s="43" t="s">
        <v>702</v>
      </c>
      <c r="D166" s="45" t="s">
        <v>17</v>
      </c>
      <c r="E166" s="50">
        <v>118.20430107526882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35">
        <v>5.0024118E7</v>
      </c>
      <c r="B167" s="40" t="s">
        <v>704</v>
      </c>
      <c r="C167" s="43" t="s">
        <v>705</v>
      </c>
      <c r="D167" s="45" t="s">
        <v>17</v>
      </c>
      <c r="E167" s="50">
        <v>464.6989247311828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35">
        <v>5.0024119E7</v>
      </c>
      <c r="B168" s="40" t="s">
        <v>707</v>
      </c>
      <c r="C168" s="43" t="s">
        <v>708</v>
      </c>
      <c r="D168" s="45" t="s">
        <v>17</v>
      </c>
      <c r="E168" s="50">
        <v>552.2043010752687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35">
        <v>5.002412E7</v>
      </c>
      <c r="B169" s="40" t="s">
        <v>710</v>
      </c>
      <c r="C169" s="43" t="s">
        <v>711</v>
      </c>
      <c r="D169" s="45" t="s">
        <v>17</v>
      </c>
      <c r="E169" s="50">
        <v>633.2043010752687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35">
        <v>5.0024121E7</v>
      </c>
      <c r="B170" s="40" t="s">
        <v>713</v>
      </c>
      <c r="C170" s="43" t="s">
        <v>714</v>
      </c>
      <c r="D170" s="45" t="s">
        <v>17</v>
      </c>
      <c r="E170" s="50">
        <v>814.6989247311827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35">
        <v>5.0024122E7</v>
      </c>
      <c r="B171" s="40" t="s">
        <v>716</v>
      </c>
      <c r="C171" s="43" t="s">
        <v>717</v>
      </c>
      <c r="D171" s="45" t="s">
        <v>17</v>
      </c>
      <c r="E171" s="50">
        <v>851.3010752688172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35">
        <v>5.0024123E7</v>
      </c>
      <c r="B172" s="40" t="s">
        <v>719</v>
      </c>
      <c r="C172" s="43" t="s">
        <v>720</v>
      </c>
      <c r="D172" s="45" t="s">
        <v>17</v>
      </c>
      <c r="E172" s="50">
        <v>1030.6989247311826</v>
      </c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35">
        <v>5.0024124E7</v>
      </c>
      <c r="B173" s="40" t="s">
        <v>722</v>
      </c>
      <c r="C173" s="43" t="s">
        <v>723</v>
      </c>
      <c r="D173" s="45" t="s">
        <v>17</v>
      </c>
      <c r="E173" s="50">
        <v>1209.3978494623655</v>
      </c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35">
        <v>5.0024125E7</v>
      </c>
      <c r="B174" s="40" t="s">
        <v>725</v>
      </c>
      <c r="C174" s="43" t="s">
        <v>726</v>
      </c>
      <c r="D174" s="45" t="s">
        <v>17</v>
      </c>
      <c r="E174" s="50">
        <v>1388.7956989247311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35">
        <v>5.0024126E7</v>
      </c>
      <c r="B175" s="40" t="s">
        <v>727</v>
      </c>
      <c r="C175" s="43" t="s">
        <v>728</v>
      </c>
      <c r="D175" s="45" t="s">
        <v>17</v>
      </c>
      <c r="E175" s="50">
        <v>1746.9032258064515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35">
        <v>5.0024127E7</v>
      </c>
      <c r="B176" s="40" t="s">
        <v>730</v>
      </c>
      <c r="C176" s="43" t="s">
        <v>731</v>
      </c>
      <c r="D176" s="45" t="s">
        <v>17</v>
      </c>
      <c r="E176" s="50">
        <v>2269.2043010752686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35">
        <v>5.002411E7</v>
      </c>
      <c r="B177" s="40" t="s">
        <v>734</v>
      </c>
      <c r="C177" s="43" t="s">
        <v>735</v>
      </c>
      <c r="D177" s="45" t="s">
        <v>17</v>
      </c>
      <c r="E177" s="50">
        <v>133.49462365591398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35">
        <v>5.0024111E7</v>
      </c>
      <c r="B178" s="40" t="s">
        <v>737</v>
      </c>
      <c r="C178" s="43" t="s">
        <v>738</v>
      </c>
      <c r="D178" s="45" t="s">
        <v>17</v>
      </c>
      <c r="E178" s="50">
        <v>155.3978494623656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35">
        <v>5.0024112E7</v>
      </c>
      <c r="B179" s="40" t="s">
        <v>740</v>
      </c>
      <c r="C179" s="43" t="s">
        <v>741</v>
      </c>
      <c r="D179" s="45" t="s">
        <v>17</v>
      </c>
      <c r="E179" s="50">
        <v>177.3010752688172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35">
        <v>5.0024113E7</v>
      </c>
      <c r="B180" s="40" t="s">
        <v>743</v>
      </c>
      <c r="C180" s="43" t="s">
        <v>744</v>
      </c>
      <c r="D180" s="45" t="s">
        <v>17</v>
      </c>
      <c r="E180" s="50">
        <v>199.9032258064516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35">
        <v>5.0024114E7</v>
      </c>
      <c r="B181" s="40" t="s">
        <v>746</v>
      </c>
      <c r="C181" s="43" t="s">
        <v>747</v>
      </c>
      <c r="D181" s="45" t="s">
        <v>17</v>
      </c>
      <c r="E181" s="50">
        <v>251.69892473118279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35">
        <v>5.0024115E7</v>
      </c>
      <c r="B182" s="40" t="s">
        <v>750</v>
      </c>
      <c r="C182" s="43" t="s">
        <v>751</v>
      </c>
      <c r="D182" s="45" t="s">
        <v>17</v>
      </c>
      <c r="E182" s="50">
        <v>295.3978494623656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35">
        <v>5.0024116E7</v>
      </c>
      <c r="B183" s="40" t="s">
        <v>753</v>
      </c>
      <c r="C183" s="43" t="s">
        <v>754</v>
      </c>
      <c r="D183" s="45" t="s">
        <v>17</v>
      </c>
      <c r="E183" s="50">
        <v>339.2043010752688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35">
        <v>5.0024117E7</v>
      </c>
      <c r="B184" s="40" t="s">
        <v>756</v>
      </c>
      <c r="C184" s="43" t="s">
        <v>757</v>
      </c>
      <c r="D184" s="45" t="s">
        <v>17</v>
      </c>
      <c r="E184" s="50">
        <v>402.0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35">
        <v>5.0024128E7</v>
      </c>
      <c r="B185" s="40" t="s">
        <v>759</v>
      </c>
      <c r="C185" s="43" t="s">
        <v>760</v>
      </c>
      <c r="D185" s="45" t="s">
        <v>17</v>
      </c>
      <c r="E185" s="50">
        <v>57.99999999999999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35">
        <v>5.0024137E7</v>
      </c>
      <c r="B186" s="40" t="s">
        <v>762</v>
      </c>
      <c r="C186" s="43" t="s">
        <v>763</v>
      </c>
      <c r="D186" s="45" t="s">
        <v>17</v>
      </c>
      <c r="E186" s="50">
        <v>354.6989247311828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35">
        <v>5.0024138E7</v>
      </c>
      <c r="B187" s="40" t="s">
        <v>765</v>
      </c>
      <c r="C187" s="43" t="s">
        <v>766</v>
      </c>
      <c r="D187" s="45" t="s">
        <v>17</v>
      </c>
      <c r="E187" s="50">
        <v>457.79569892473114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35">
        <v>5.0024139E7</v>
      </c>
      <c r="B188" s="40" t="s">
        <v>768</v>
      </c>
      <c r="C188" s="43" t="s">
        <v>769</v>
      </c>
      <c r="D188" s="45" t="s">
        <v>17</v>
      </c>
      <c r="E188" s="50">
        <v>551.2043010752687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35">
        <v>5.002414E7</v>
      </c>
      <c r="B189" s="40" t="s">
        <v>771</v>
      </c>
      <c r="C189" s="43" t="s">
        <v>772</v>
      </c>
      <c r="D189" s="45" t="s">
        <v>17</v>
      </c>
      <c r="E189" s="50">
        <v>635.7956989247311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35">
        <v>5.0024141E7</v>
      </c>
      <c r="B190" s="40" t="s">
        <v>774</v>
      </c>
      <c r="C190" s="43" t="s">
        <v>775</v>
      </c>
      <c r="D190" s="45" t="s">
        <v>17</v>
      </c>
      <c r="E190" s="50">
        <v>810.9032258064516</v>
      </c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35">
        <v>5.0024142E7</v>
      </c>
      <c r="B191" s="40" t="s">
        <v>777</v>
      </c>
      <c r="C191" s="43" t="s">
        <v>778</v>
      </c>
      <c r="D191" s="45" t="s">
        <v>17</v>
      </c>
      <c r="E191" s="50">
        <v>996.2043010752687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35">
        <v>5.0024143E7</v>
      </c>
      <c r="B192" s="40" t="s">
        <v>780</v>
      </c>
      <c r="C192" s="43" t="s">
        <v>781</v>
      </c>
      <c r="D192" s="45" t="s">
        <v>17</v>
      </c>
      <c r="E192" s="50">
        <v>1171.2043010752689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35">
        <v>5.0024144E7</v>
      </c>
      <c r="B193" s="40" t="s">
        <v>783</v>
      </c>
      <c r="C193" s="43" t="s">
        <v>784</v>
      </c>
      <c r="D193" s="45" t="s">
        <v>17</v>
      </c>
      <c r="E193" s="50">
        <v>1333.0967741935483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35">
        <v>5.0024145E7</v>
      </c>
      <c r="B194" s="40" t="s">
        <v>786</v>
      </c>
      <c r="C194" s="43" t="s">
        <v>787</v>
      </c>
      <c r="D194" s="45" t="s">
        <v>17</v>
      </c>
      <c r="E194" s="50">
        <v>1503.9032258064517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35">
        <v>5.0024146E7</v>
      </c>
      <c r="B195" s="40" t="s">
        <v>789</v>
      </c>
      <c r="C195" s="43" t="s">
        <v>790</v>
      </c>
      <c r="D195" s="45" t="s">
        <v>17</v>
      </c>
      <c r="E195" s="50">
        <v>1693.494623655914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35">
        <v>5.0024129E7</v>
      </c>
      <c r="B196" s="40" t="s">
        <v>792</v>
      </c>
      <c r="C196" s="43" t="s">
        <v>793</v>
      </c>
      <c r="D196" s="45" t="s">
        <v>17</v>
      </c>
      <c r="E196" s="50">
        <v>69.69892473118279</v>
      </c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35">
        <v>5.0024147E7</v>
      </c>
      <c r="B197" s="40" t="s">
        <v>796</v>
      </c>
      <c r="C197" s="43" t="s">
        <v>797</v>
      </c>
      <c r="D197" s="45" t="s">
        <v>17</v>
      </c>
      <c r="E197" s="50">
        <v>1864.096774193548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35">
        <v>5.0024148E7</v>
      </c>
      <c r="B198" s="40" t="s">
        <v>799</v>
      </c>
      <c r="C198" s="43" t="s">
        <v>800</v>
      </c>
      <c r="D198" s="45" t="s">
        <v>17</v>
      </c>
      <c r="E198" s="50">
        <v>2203.9999999999995</v>
      </c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35">
        <v>5.002413E7</v>
      </c>
      <c r="B199" s="40" t="s">
        <v>802</v>
      </c>
      <c r="C199" s="43" t="s">
        <v>803</v>
      </c>
      <c r="D199" s="45" t="s">
        <v>17</v>
      </c>
      <c r="E199" s="50">
        <v>81.3010752688172</v>
      </c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35">
        <v>5.0024131E7</v>
      </c>
      <c r="B200" s="40" t="s">
        <v>805</v>
      </c>
      <c r="C200" s="43" t="s">
        <v>806</v>
      </c>
      <c r="D200" s="45" t="s">
        <v>17</v>
      </c>
      <c r="E200" s="50">
        <v>92.99999999999999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35">
        <v>5.0024132E7</v>
      </c>
      <c r="B201" s="40" t="s">
        <v>808</v>
      </c>
      <c r="C201" s="43" t="s">
        <v>809</v>
      </c>
      <c r="D201" s="45" t="s">
        <v>17</v>
      </c>
      <c r="E201" s="50">
        <v>107.6021505376344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35">
        <v>5.0024133E7</v>
      </c>
      <c r="B202" s="40" t="s">
        <v>811</v>
      </c>
      <c r="C202" s="43" t="s">
        <v>812</v>
      </c>
      <c r="D202" s="45" t="s">
        <v>17</v>
      </c>
      <c r="E202" s="50">
        <v>132.30107526881721</v>
      </c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35">
        <v>5.0024134E7</v>
      </c>
      <c r="B203" s="40" t="s">
        <v>814</v>
      </c>
      <c r="C203" s="43" t="s">
        <v>815</v>
      </c>
      <c r="D203" s="45" t="s">
        <v>17</v>
      </c>
      <c r="E203" s="50">
        <v>168.69892473118279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35">
        <v>5.0024135E7</v>
      </c>
      <c r="B204" s="40" t="s">
        <v>817</v>
      </c>
      <c r="C204" s="43" t="s">
        <v>818</v>
      </c>
      <c r="D204" s="45" t="s">
        <v>17</v>
      </c>
      <c r="E204" s="50">
        <v>219.49462365591395</v>
      </c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35">
        <v>5.0024136E7</v>
      </c>
      <c r="B205" s="40" t="s">
        <v>820</v>
      </c>
      <c r="C205" s="43" t="s">
        <v>821</v>
      </c>
      <c r="D205" s="45" t="s">
        <v>17</v>
      </c>
      <c r="E205" s="50">
        <v>267.39784946236557</v>
      </c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35">
        <v>5.0024149E7</v>
      </c>
      <c r="B206" s="40" t="s">
        <v>823</v>
      </c>
      <c r="C206" s="43" t="s">
        <v>824</v>
      </c>
      <c r="D206" s="45" t="s">
        <v>17</v>
      </c>
      <c r="E206" s="50">
        <v>27.795698924731184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35">
        <v>5.0024158E7</v>
      </c>
      <c r="B207" s="40" t="s">
        <v>826</v>
      </c>
      <c r="C207" s="43" t="s">
        <v>827</v>
      </c>
      <c r="D207" s="45" t="s">
        <v>17</v>
      </c>
      <c r="E207" s="50">
        <v>291.7956989247312</v>
      </c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35">
        <v>5.0024159E7</v>
      </c>
      <c r="B208" s="40" t="s">
        <v>829</v>
      </c>
      <c r="C208" s="43" t="s">
        <v>830</v>
      </c>
      <c r="D208" s="45" t="s">
        <v>17</v>
      </c>
      <c r="E208" s="50">
        <v>380.79569892473114</v>
      </c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35">
        <v>5.002416E7</v>
      </c>
      <c r="B209" s="40" t="s">
        <v>832</v>
      </c>
      <c r="C209" s="43" t="s">
        <v>833</v>
      </c>
      <c r="D209" s="45" t="s">
        <v>17</v>
      </c>
      <c r="E209" s="50">
        <v>474.0967741935484</v>
      </c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35">
        <v>5.0024161E7</v>
      </c>
      <c r="B210" s="40" t="s">
        <v>835</v>
      </c>
      <c r="C210" s="43" t="s">
        <v>836</v>
      </c>
      <c r="D210" s="45" t="s">
        <v>17</v>
      </c>
      <c r="E210" s="50">
        <v>558.7956989247311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35">
        <v>5.0024162E7</v>
      </c>
      <c r="B211" s="40" t="s">
        <v>838</v>
      </c>
      <c r="C211" s="43" t="s">
        <v>839</v>
      </c>
      <c r="D211" s="45" t="s">
        <v>17</v>
      </c>
      <c r="E211" s="50">
        <v>729.4946236559139</v>
      </c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35">
        <v>5.0024163E7</v>
      </c>
      <c r="B212" s="40" t="s">
        <v>841</v>
      </c>
      <c r="C212" s="43" t="s">
        <v>843</v>
      </c>
      <c r="D212" s="45" t="s">
        <v>17</v>
      </c>
      <c r="E212" s="50">
        <v>892.9032258064516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35">
        <v>5.0024164E7</v>
      </c>
      <c r="B213" s="40" t="s">
        <v>844</v>
      </c>
      <c r="C213" s="43" t="s">
        <v>846</v>
      </c>
      <c r="D213" s="45" t="s">
        <v>17</v>
      </c>
      <c r="E213" s="50">
        <v>1067.9032258064515</v>
      </c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35">
        <v>5.0024165E7</v>
      </c>
      <c r="B214" s="40" t="s">
        <v>848</v>
      </c>
      <c r="C214" s="43" t="s">
        <v>849</v>
      </c>
      <c r="D214" s="45" t="s">
        <v>17</v>
      </c>
      <c r="E214" s="50">
        <v>1229.7956989247311</v>
      </c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35">
        <v>5.0024166E7</v>
      </c>
      <c r="B215" s="40" t="s">
        <v>851</v>
      </c>
      <c r="C215" s="43" t="s">
        <v>852</v>
      </c>
      <c r="D215" s="45" t="s">
        <v>17</v>
      </c>
      <c r="E215" s="50">
        <v>1400.494623655914</v>
      </c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35">
        <v>5.0024167E7</v>
      </c>
      <c r="B216" s="40" t="s">
        <v>854</v>
      </c>
      <c r="C216" s="43" t="s">
        <v>855</v>
      </c>
      <c r="D216" s="45" t="s">
        <v>17</v>
      </c>
      <c r="E216" s="50">
        <v>1572.6021505376343</v>
      </c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35">
        <v>5.002415E7</v>
      </c>
      <c r="B217" s="40" t="s">
        <v>857</v>
      </c>
      <c r="C217" s="43" t="s">
        <v>858</v>
      </c>
      <c r="D217" s="45" t="s">
        <v>17</v>
      </c>
      <c r="E217" s="50">
        <v>36.494623655913976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35">
        <v>5.0024168E7</v>
      </c>
      <c r="B218" s="40" t="s">
        <v>860</v>
      </c>
      <c r="C218" s="43" t="s">
        <v>861</v>
      </c>
      <c r="D218" s="45" t="s">
        <v>17</v>
      </c>
      <c r="E218" s="50">
        <v>1736.0</v>
      </c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35">
        <v>5.0024169E7</v>
      </c>
      <c r="B219" s="40" t="s">
        <v>863</v>
      </c>
      <c r="C219" s="43" t="s">
        <v>864</v>
      </c>
      <c r="D219" s="45" t="s">
        <v>17</v>
      </c>
      <c r="E219" s="50">
        <v>2057.0</v>
      </c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35">
        <v>5.0024151E7</v>
      </c>
      <c r="B220" s="40" t="s">
        <v>866</v>
      </c>
      <c r="C220" s="43" t="s">
        <v>867</v>
      </c>
      <c r="D220" s="45" t="s">
        <v>17</v>
      </c>
      <c r="E220" s="50">
        <v>46.795698924731184</v>
      </c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35">
        <v>5.0024152E7</v>
      </c>
      <c r="B221" s="40" t="s">
        <v>869</v>
      </c>
      <c r="C221" s="43" t="s">
        <v>870</v>
      </c>
      <c r="D221" s="45" t="s">
        <v>17</v>
      </c>
      <c r="E221" s="50">
        <v>58.39784946236559</v>
      </c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35">
        <v>5.0024153E7</v>
      </c>
      <c r="B222" s="40" t="s">
        <v>872</v>
      </c>
      <c r="C222" s="43" t="s">
        <v>873</v>
      </c>
      <c r="D222" s="45" t="s">
        <v>17</v>
      </c>
      <c r="E222" s="50">
        <v>73.0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35">
        <v>5.0024154E7</v>
      </c>
      <c r="B223" s="40" t="s">
        <v>875</v>
      </c>
      <c r="C223" s="43" t="s">
        <v>876</v>
      </c>
      <c r="D223" s="45" t="s">
        <v>17</v>
      </c>
      <c r="E223" s="50">
        <v>97.79569892473118</v>
      </c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35">
        <v>5.0024155E7</v>
      </c>
      <c r="B224" s="40" t="s">
        <v>878</v>
      </c>
      <c r="C224" s="43" t="s">
        <v>879</v>
      </c>
      <c r="D224" s="45" t="s">
        <v>17</v>
      </c>
      <c r="E224" s="50">
        <v>125.49462365591397</v>
      </c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35">
        <v>5.0024156E7</v>
      </c>
      <c r="B225" s="40" t="s">
        <v>880</v>
      </c>
      <c r="C225" s="43" t="s">
        <v>881</v>
      </c>
      <c r="D225" s="45" t="s">
        <v>17</v>
      </c>
      <c r="E225" s="50">
        <v>170.79569892473117</v>
      </c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35">
        <v>5.0024157E7</v>
      </c>
      <c r="B226" s="40" t="s">
        <v>884</v>
      </c>
      <c r="C226" s="43" t="s">
        <v>885</v>
      </c>
      <c r="D226" s="45" t="s">
        <v>17</v>
      </c>
      <c r="E226" s="50">
        <v>211.6021505376344</v>
      </c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35">
        <v>5.002417E7</v>
      </c>
      <c r="B227" s="40" t="s">
        <v>887</v>
      </c>
      <c r="C227" s="43" t="s">
        <v>888</v>
      </c>
      <c r="D227" s="45" t="s">
        <v>17</v>
      </c>
      <c r="E227" s="50">
        <v>50.69892473118279</v>
      </c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35">
        <v>5.0024171E7</v>
      </c>
      <c r="B228" s="40" t="s">
        <v>890</v>
      </c>
      <c r="C228" s="43" t="s">
        <v>891</v>
      </c>
      <c r="D228" s="45" t="s">
        <v>17</v>
      </c>
      <c r="E228" s="50">
        <v>60.79569892473118</v>
      </c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35">
        <v>5.0024172E7</v>
      </c>
      <c r="B229" s="40" t="s">
        <v>893</v>
      </c>
      <c r="C229" s="43" t="s">
        <v>894</v>
      </c>
      <c r="D229" s="45" t="s">
        <v>17</v>
      </c>
      <c r="E229" s="50">
        <v>91.49462365591398</v>
      </c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35">
        <v>5.0024173E7</v>
      </c>
      <c r="B230" s="40" t="s">
        <v>896</v>
      </c>
      <c r="C230" s="43" t="s">
        <v>897</v>
      </c>
      <c r="D230" s="45" t="s">
        <v>17</v>
      </c>
      <c r="E230" s="50">
        <v>120.69892473118279</v>
      </c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35">
        <v>5.0024174E7</v>
      </c>
      <c r="B231" s="40" t="s">
        <v>898</v>
      </c>
      <c r="C231" s="43" t="s">
        <v>899</v>
      </c>
      <c r="D231" s="45" t="s">
        <v>17</v>
      </c>
      <c r="E231" s="50">
        <v>43.79569892473118</v>
      </c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35">
        <v>5.0024175E7</v>
      </c>
      <c r="B232" s="40" t="s">
        <v>902</v>
      </c>
      <c r="C232" s="43" t="s">
        <v>903</v>
      </c>
      <c r="D232" s="45" t="s">
        <v>17</v>
      </c>
      <c r="E232" s="50">
        <v>51.096774193548384</v>
      </c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35">
        <v>5.0024176E7</v>
      </c>
      <c r="B233" s="40" t="s">
        <v>907</v>
      </c>
      <c r="C233" s="43" t="s">
        <v>908</v>
      </c>
      <c r="D233" s="45" t="s">
        <v>17</v>
      </c>
      <c r="E233" s="50">
        <v>59.90322580645161</v>
      </c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35">
        <v>5.0024177E7</v>
      </c>
      <c r="B234" s="40" t="s">
        <v>910</v>
      </c>
      <c r="C234" s="43" t="s">
        <v>911</v>
      </c>
      <c r="D234" s="45" t="s">
        <v>17</v>
      </c>
      <c r="E234" s="50">
        <v>68.6021505376344</v>
      </c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35">
        <v>5.0024178E7</v>
      </c>
      <c r="B235" s="40" t="s">
        <v>913</v>
      </c>
      <c r="C235" s="43" t="s">
        <v>914</v>
      </c>
      <c r="D235" s="45" t="s">
        <v>17</v>
      </c>
      <c r="E235" s="50">
        <v>78.79569892473118</v>
      </c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35">
        <v>5.0024179E7</v>
      </c>
      <c r="B236" s="40" t="s">
        <v>916</v>
      </c>
      <c r="C236" s="43" t="s">
        <v>917</v>
      </c>
      <c r="D236" s="45" t="s">
        <v>17</v>
      </c>
      <c r="E236" s="50">
        <v>87.6021505376344</v>
      </c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35">
        <v>5.002418E7</v>
      </c>
      <c r="B237" s="40" t="s">
        <v>919</v>
      </c>
      <c r="C237" s="43" t="s">
        <v>920</v>
      </c>
      <c r="D237" s="45" t="s">
        <v>17</v>
      </c>
      <c r="E237" s="50">
        <v>107.99999999999999</v>
      </c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35">
        <v>5.0024181E7</v>
      </c>
      <c r="B238" s="40" t="s">
        <v>922</v>
      </c>
      <c r="C238" s="43" t="s">
        <v>924</v>
      </c>
      <c r="D238" s="45" t="s">
        <v>17</v>
      </c>
      <c r="E238" s="50">
        <v>18.602150537634408</v>
      </c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35">
        <v>5.0024182E7</v>
      </c>
      <c r="B239" s="40" t="s">
        <v>925</v>
      </c>
      <c r="C239" s="43" t="s">
        <v>926</v>
      </c>
      <c r="D239" s="45" t="s">
        <v>17</v>
      </c>
      <c r="E239" s="50">
        <v>31.494623655913976</v>
      </c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35">
        <v>5.0024183E7</v>
      </c>
      <c r="B240" s="40" t="s">
        <v>927</v>
      </c>
      <c r="C240" s="43" t="s">
        <v>929</v>
      </c>
      <c r="D240" s="45" t="s">
        <v>17</v>
      </c>
      <c r="E240" s="50">
        <v>44.494623655913976</v>
      </c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35">
        <v>5.0024184E7</v>
      </c>
      <c r="B241" s="40" t="s">
        <v>931</v>
      </c>
      <c r="C241" s="43" t="s">
        <v>932</v>
      </c>
      <c r="D241" s="45" t="s">
        <v>17</v>
      </c>
      <c r="E241" s="50">
        <v>62.3010752688172</v>
      </c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35">
        <v>5.0024185E7</v>
      </c>
      <c r="B242" s="40" t="s">
        <v>934</v>
      </c>
      <c r="C242" s="43" t="s">
        <v>935</v>
      </c>
      <c r="D242" s="45" t="s">
        <v>17</v>
      </c>
      <c r="E242" s="50">
        <v>95.39784946236558</v>
      </c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35">
        <v>5.0024186E7</v>
      </c>
      <c r="B243" s="40" t="s">
        <v>937</v>
      </c>
      <c r="C243" s="43" t="s">
        <v>938</v>
      </c>
      <c r="D243" s="45" t="s">
        <v>17</v>
      </c>
      <c r="E243" s="50">
        <v>140.39784946236557</v>
      </c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35">
        <v>5.0024187E7</v>
      </c>
      <c r="B244" s="40" t="s">
        <v>941</v>
      </c>
      <c r="C244" s="43" t="s">
        <v>942</v>
      </c>
      <c r="D244" s="45" t="s">
        <v>17</v>
      </c>
      <c r="E244" s="50">
        <v>153.3010752688172</v>
      </c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35">
        <v>5.0024188E7</v>
      </c>
      <c r="B245" s="40" t="s">
        <v>944</v>
      </c>
      <c r="C245" s="43" t="s">
        <v>945</v>
      </c>
      <c r="D245" s="45" t="s">
        <v>17</v>
      </c>
      <c r="E245" s="50">
        <v>21.903225806451612</v>
      </c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35">
        <v>5.0024189E7</v>
      </c>
      <c r="B246" s="40" t="s">
        <v>947</v>
      </c>
      <c r="C246" s="43" t="s">
        <v>948</v>
      </c>
      <c r="D246" s="45" t="s">
        <v>17</v>
      </c>
      <c r="E246" s="50">
        <v>54.60215053763441</v>
      </c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35">
        <v>5.002419E7</v>
      </c>
      <c r="B247" s="40" t="s">
        <v>950</v>
      </c>
      <c r="C247" s="43" t="s">
        <v>951</v>
      </c>
      <c r="D247" s="45" t="s">
        <v>17</v>
      </c>
      <c r="E247" s="50">
        <v>109.49462365591397</v>
      </c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35">
        <v>5.0024191E7</v>
      </c>
      <c r="B248" s="40" t="s">
        <v>953</v>
      </c>
      <c r="C248" s="43" t="s">
        <v>954</v>
      </c>
      <c r="D248" s="45" t="s">
        <v>17</v>
      </c>
      <c r="E248" s="50">
        <v>197.0</v>
      </c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35">
        <v>5.0024192E7</v>
      </c>
      <c r="B249" s="40" t="s">
        <v>956</v>
      </c>
      <c r="C249" s="43" t="s">
        <v>957</v>
      </c>
      <c r="D249" s="45" t="s">
        <v>17</v>
      </c>
      <c r="E249" s="50">
        <v>248.09677419354836</v>
      </c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35">
        <v>5.0024193E7</v>
      </c>
      <c r="B250" s="40" t="s">
        <v>960</v>
      </c>
      <c r="C250" s="43" t="s">
        <v>961</v>
      </c>
      <c r="D250" s="45" t="s">
        <v>17</v>
      </c>
      <c r="E250" s="50">
        <v>299.0967741935484</v>
      </c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35">
        <v>5.0024194E7</v>
      </c>
      <c r="B251" s="40" t="s">
        <v>963</v>
      </c>
      <c r="C251" s="43" t="s">
        <v>964</v>
      </c>
      <c r="D251" s="45" t="s">
        <v>17</v>
      </c>
      <c r="E251" s="50">
        <v>329.6989247311828</v>
      </c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35">
        <v>5.0024195E7</v>
      </c>
      <c r="B252" s="40" t="s">
        <v>966</v>
      </c>
      <c r="C252" s="43" t="s">
        <v>967</v>
      </c>
      <c r="D252" s="45" t="s">
        <v>17</v>
      </c>
      <c r="E252" s="50">
        <v>360.39784946236557</v>
      </c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35">
        <v>5.0024196E7</v>
      </c>
      <c r="B253" s="40" t="s">
        <v>969</v>
      </c>
      <c r="C253" s="43" t="s">
        <v>970</v>
      </c>
      <c r="D253" s="45" t="s">
        <v>17</v>
      </c>
      <c r="E253" s="50">
        <v>408.4946236559139</v>
      </c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35">
        <v>5.0024197E7</v>
      </c>
      <c r="B254" s="40" t="s">
        <v>972</v>
      </c>
      <c r="C254" s="43" t="s">
        <v>973</v>
      </c>
      <c r="D254" s="45" t="s">
        <v>17</v>
      </c>
      <c r="E254" s="50">
        <v>496.09677419354836</v>
      </c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35">
        <v>5.0024198E7</v>
      </c>
      <c r="B255" s="40" t="s">
        <v>975</v>
      </c>
      <c r="C255" s="43" t="s">
        <v>976</v>
      </c>
      <c r="D255" s="45" t="s">
        <v>17</v>
      </c>
      <c r="E255" s="50">
        <v>3.7956989247311825</v>
      </c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35">
        <v>5.0024199E7</v>
      </c>
      <c r="B256" s="40" t="s">
        <v>979</v>
      </c>
      <c r="C256" s="43" t="s">
        <v>980</v>
      </c>
      <c r="D256" s="45" t="s">
        <v>17</v>
      </c>
      <c r="E256" s="50">
        <v>5.301075268817204</v>
      </c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35">
        <v>5.00242E7</v>
      </c>
      <c r="B257" s="40" t="s">
        <v>982</v>
      </c>
      <c r="C257" s="43" t="s">
        <v>983</v>
      </c>
      <c r="D257" s="45" t="s">
        <v>17</v>
      </c>
      <c r="E257" s="50">
        <v>6.795698924731183</v>
      </c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35">
        <v>5.0024201E7</v>
      </c>
      <c r="B258" s="40" t="s">
        <v>986</v>
      </c>
      <c r="C258" s="43" t="s">
        <v>987</v>
      </c>
      <c r="D258" s="45" t="s">
        <v>17</v>
      </c>
      <c r="E258" s="50">
        <v>8.301075268817204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35">
        <v>5.0024202E7</v>
      </c>
      <c r="B259" s="40" t="s">
        <v>990</v>
      </c>
      <c r="C259" s="43" t="s">
        <v>991</v>
      </c>
      <c r="D259" s="45" t="s">
        <v>17</v>
      </c>
      <c r="E259" s="50">
        <v>5.204301075268817</v>
      </c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35">
        <v>5.0024203E7</v>
      </c>
      <c r="B260" s="40" t="s">
        <v>993</v>
      </c>
      <c r="C260" s="43" t="s">
        <v>994</v>
      </c>
      <c r="D260" s="45" t="s">
        <v>17</v>
      </c>
      <c r="E260" s="50">
        <v>197.79569892473117</v>
      </c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35">
        <v>5.0024204E7</v>
      </c>
      <c r="B261" s="40" t="s">
        <v>996</v>
      </c>
      <c r="C261" s="43" t="s">
        <v>997</v>
      </c>
      <c r="D261" s="45" t="s">
        <v>17</v>
      </c>
      <c r="E261" s="50">
        <v>8.39784946236559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35">
        <v>5.0024205E7</v>
      </c>
      <c r="B262" s="40" t="s">
        <v>999</v>
      </c>
      <c r="C262" s="43" t="s">
        <v>1000</v>
      </c>
      <c r="D262" s="45" t="s">
        <v>17</v>
      </c>
      <c r="E262" s="50">
        <v>8.602150537634408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35">
        <v>5.0024206E7</v>
      </c>
      <c r="B263" s="40" t="s">
        <v>1002</v>
      </c>
      <c r="C263" s="43" t="s">
        <v>1003</v>
      </c>
      <c r="D263" s="45" t="s">
        <v>17</v>
      </c>
      <c r="E263" s="50">
        <v>9.494623655913978</v>
      </c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35">
        <v>5.0024207E7</v>
      </c>
      <c r="B264" s="40" t="s">
        <v>1006</v>
      </c>
      <c r="C264" s="43" t="s">
        <v>1007</v>
      </c>
      <c r="D264" s="45" t="s">
        <v>17</v>
      </c>
      <c r="E264" s="50">
        <v>11.0</v>
      </c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35">
        <v>5.0024208E7</v>
      </c>
      <c r="B265" s="40" t="s">
        <v>1008</v>
      </c>
      <c r="C265" s="43" t="s">
        <v>1009</v>
      </c>
      <c r="D265" s="45" t="s">
        <v>17</v>
      </c>
      <c r="E265" s="50">
        <v>42.30107526881721</v>
      </c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35">
        <v>5.0024209E7</v>
      </c>
      <c r="B266" s="40" t="s">
        <v>1011</v>
      </c>
      <c r="C266" s="43" t="s">
        <v>1012</v>
      </c>
      <c r="D266" s="45" t="s">
        <v>17</v>
      </c>
      <c r="E266" s="50">
        <v>3.3978494623655915</v>
      </c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35">
        <v>5.002421E7</v>
      </c>
      <c r="B267" s="40" t="s">
        <v>1014</v>
      </c>
      <c r="C267" s="43" t="s">
        <v>1015</v>
      </c>
      <c r="D267" s="45" t="s">
        <v>17</v>
      </c>
      <c r="E267" s="50">
        <v>5.096774193548387</v>
      </c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35">
        <v>5.0024211E7</v>
      </c>
      <c r="B268" s="40" t="s">
        <v>1017</v>
      </c>
      <c r="C268" s="43" t="s">
        <v>1019</v>
      </c>
      <c r="D268" s="45" t="s">
        <v>17</v>
      </c>
      <c r="E268" s="50">
        <v>4.204301075268817</v>
      </c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35">
        <v>5.0024212E7</v>
      </c>
      <c r="B269" s="40" t="s">
        <v>1021</v>
      </c>
      <c r="C269" s="43" t="s">
        <v>1022</v>
      </c>
      <c r="D269" s="45" t="s">
        <v>17</v>
      </c>
      <c r="E269" s="50">
        <v>14.602150537634408</v>
      </c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35">
        <v>5.0024213E7</v>
      </c>
      <c r="B270" s="40" t="s">
        <v>1024</v>
      </c>
      <c r="C270" s="43" t="s">
        <v>1025</v>
      </c>
      <c r="D270" s="45" t="s">
        <v>17</v>
      </c>
      <c r="E270" s="50">
        <v>1.4731182795698925</v>
      </c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35">
        <v>5.0024214E7</v>
      </c>
      <c r="B271" s="40" t="s">
        <v>1027</v>
      </c>
      <c r="C271" s="43" t="s">
        <v>1028</v>
      </c>
      <c r="D271" s="45" t="s">
        <v>17</v>
      </c>
      <c r="E271" s="50">
        <v>2.494623655913978</v>
      </c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35">
        <v>5.0024215E7</v>
      </c>
      <c r="B272" s="40" t="s">
        <v>1030</v>
      </c>
      <c r="C272" s="43" t="s">
        <v>1032</v>
      </c>
      <c r="D272" s="45" t="s">
        <v>17</v>
      </c>
      <c r="E272" s="50">
        <v>7.301075268817204</v>
      </c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35">
        <v>5.0024216E7</v>
      </c>
      <c r="B273" s="40" t="s">
        <v>1034</v>
      </c>
      <c r="C273" s="43" t="s">
        <v>1035</v>
      </c>
      <c r="D273" s="45" t="s">
        <v>17</v>
      </c>
      <c r="E273" s="50">
        <v>29.204301075268816</v>
      </c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35">
        <v>5.0024217E7</v>
      </c>
      <c r="B274" s="40" t="s">
        <v>1037</v>
      </c>
      <c r="C274" s="43" t="s">
        <v>1038</v>
      </c>
      <c r="D274" s="45" t="s">
        <v>17</v>
      </c>
      <c r="E274" s="50">
        <v>16.397849462365592</v>
      </c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35">
        <v>5.0024218E7</v>
      </c>
      <c r="B275" s="40" t="s">
        <v>1040</v>
      </c>
      <c r="C275" s="43" t="s">
        <v>1042</v>
      </c>
      <c r="D275" s="45" t="s">
        <v>17</v>
      </c>
      <c r="E275" s="50">
        <v>51.096774193548384</v>
      </c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35">
        <v>5.0024219E7</v>
      </c>
      <c r="B276" s="40" t="s">
        <v>1044</v>
      </c>
      <c r="C276" s="43" t="s">
        <v>1045</v>
      </c>
      <c r="D276" s="45" t="s">
        <v>17</v>
      </c>
      <c r="E276" s="50">
        <v>87.6021505376344</v>
      </c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35">
        <v>5.002422E7</v>
      </c>
      <c r="B277" s="40" t="s">
        <v>1047</v>
      </c>
      <c r="C277" s="43" t="s">
        <v>1048</v>
      </c>
      <c r="D277" s="45" t="s">
        <v>17</v>
      </c>
      <c r="E277" s="50">
        <v>131.3010752688172</v>
      </c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35">
        <v>5.0024221E7</v>
      </c>
      <c r="B278" s="40" t="s">
        <v>1050</v>
      </c>
      <c r="C278" s="43" t="s">
        <v>1051</v>
      </c>
      <c r="D278" s="45" t="s">
        <v>17</v>
      </c>
      <c r="E278" s="50">
        <v>2.6021505376344085</v>
      </c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35">
        <v>5.0024222E7</v>
      </c>
      <c r="B279" s="40" t="s">
        <v>1053</v>
      </c>
      <c r="C279" s="43" t="s">
        <v>1054</v>
      </c>
      <c r="D279" s="45" t="s">
        <v>17</v>
      </c>
      <c r="E279" s="50">
        <v>2.53763440860215</v>
      </c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35">
        <v>5.0024223E7</v>
      </c>
      <c r="B280" s="40" t="s">
        <v>1056</v>
      </c>
      <c r="C280" s="43" t="s">
        <v>1057</v>
      </c>
      <c r="D280" s="45" t="s">
        <v>17</v>
      </c>
      <c r="E280" s="50">
        <v>6.795698924731183</v>
      </c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35">
        <v>5.0024224E7</v>
      </c>
      <c r="B281" s="40" t="s">
        <v>1059</v>
      </c>
      <c r="C281" s="43" t="s">
        <v>1060</v>
      </c>
      <c r="D281" s="45" t="s">
        <v>17</v>
      </c>
      <c r="E281" s="50">
        <v>4.204301075268817</v>
      </c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35">
        <v>5.0024225E7</v>
      </c>
      <c r="B282" s="40" t="s">
        <v>1062</v>
      </c>
      <c r="C282" s="43" t="s">
        <v>1063</v>
      </c>
      <c r="D282" s="45" t="s">
        <v>17</v>
      </c>
      <c r="E282" s="50">
        <v>2.53763440860215</v>
      </c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35">
        <v>5.0024226E7</v>
      </c>
      <c r="B283" s="40" t="s">
        <v>1065</v>
      </c>
      <c r="C283" s="43" t="s">
        <v>1066</v>
      </c>
      <c r="D283" s="45" t="s">
        <v>202</v>
      </c>
      <c r="E283" s="50">
        <v>1.3763440860215053</v>
      </c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35">
        <v>5.0024227E7</v>
      </c>
      <c r="B284" s="40" t="s">
        <v>1068</v>
      </c>
      <c r="C284" s="43" t="s">
        <v>1070</v>
      </c>
      <c r="D284" s="45" t="s">
        <v>202</v>
      </c>
      <c r="E284" s="50">
        <v>1.6021505376344085</v>
      </c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35">
        <v>5.0024228E7</v>
      </c>
      <c r="B285" s="40" t="s">
        <v>1072</v>
      </c>
      <c r="C285" s="43" t="s">
        <v>1073</v>
      </c>
      <c r="D285" s="45" t="s">
        <v>202</v>
      </c>
      <c r="E285" s="50">
        <v>1.8279569892473118</v>
      </c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35">
        <v>5.0024229E7</v>
      </c>
      <c r="B286" s="40" t="s">
        <v>1075</v>
      </c>
      <c r="C286" s="43" t="s">
        <v>1076</v>
      </c>
      <c r="D286" s="45" t="s">
        <v>202</v>
      </c>
      <c r="E286" s="50">
        <v>1.096774193548387</v>
      </c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35">
        <v>5.002423E7</v>
      </c>
      <c r="B287" s="40" t="s">
        <v>1078</v>
      </c>
      <c r="C287" s="43" t="s">
        <v>1079</v>
      </c>
      <c r="D287" s="45" t="s">
        <v>202</v>
      </c>
      <c r="E287" s="50">
        <v>1.3010752688172043</v>
      </c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35">
        <v>5.0024231E7</v>
      </c>
      <c r="B288" s="40" t="s">
        <v>1081</v>
      </c>
      <c r="C288" s="43" t="s">
        <v>1082</v>
      </c>
      <c r="D288" s="45" t="s">
        <v>202</v>
      </c>
      <c r="E288" s="50">
        <v>1.4408602150537635</v>
      </c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35">
        <v>5.0024232E7</v>
      </c>
      <c r="B289" s="40" t="s">
        <v>1084</v>
      </c>
      <c r="C289" s="43" t="s">
        <v>1085</v>
      </c>
      <c r="D289" s="45" t="s">
        <v>202</v>
      </c>
      <c r="E289" s="50">
        <v>0.21505376344086022</v>
      </c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35">
        <v>5.0024233E7</v>
      </c>
      <c r="B290" s="40" t="s">
        <v>1087</v>
      </c>
      <c r="C290" s="43" t="s">
        <v>1088</v>
      </c>
      <c r="D290" s="45" t="s">
        <v>202</v>
      </c>
      <c r="E290" s="50">
        <v>0.47311827956989244</v>
      </c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35">
        <v>5.0024234E7</v>
      </c>
      <c r="B291" s="40" t="s">
        <v>1090</v>
      </c>
      <c r="C291" s="43" t="s">
        <v>1091</v>
      </c>
      <c r="D291" s="45" t="s">
        <v>202</v>
      </c>
      <c r="E291" s="50">
        <v>0.6774193548387096</v>
      </c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35">
        <v>5.0024235E7</v>
      </c>
      <c r="B292" s="40" t="s">
        <v>1093</v>
      </c>
      <c r="C292" s="43" t="s">
        <v>1094</v>
      </c>
      <c r="D292" s="45" t="s">
        <v>17</v>
      </c>
      <c r="E292" s="50">
        <v>12.602150537634408</v>
      </c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35">
        <v>5.0024236E7</v>
      </c>
      <c r="B293" s="40" t="s">
        <v>1096</v>
      </c>
      <c r="C293" s="43" t="s">
        <v>1097</v>
      </c>
      <c r="D293" s="45" t="s">
        <v>17</v>
      </c>
      <c r="E293" s="50">
        <v>15.494623655913978</v>
      </c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35">
        <v>5.0024237E7</v>
      </c>
      <c r="B294" s="40" t="s">
        <v>1099</v>
      </c>
      <c r="C294" s="43" t="s">
        <v>1100</v>
      </c>
      <c r="D294" s="45" t="s">
        <v>17</v>
      </c>
      <c r="E294" s="50">
        <v>18.39784946236559</v>
      </c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35">
        <v>5.0024238E7</v>
      </c>
      <c r="B295" s="40" t="s">
        <v>1102</v>
      </c>
      <c r="C295" s="43" t="s">
        <v>1103</v>
      </c>
      <c r="D295" s="45" t="s">
        <v>17</v>
      </c>
      <c r="E295" s="50">
        <v>14.999999999999998</v>
      </c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35">
        <v>5.0024239E7</v>
      </c>
      <c r="B296" s="40" t="s">
        <v>1106</v>
      </c>
      <c r="C296" s="43" t="s">
        <v>1107</v>
      </c>
      <c r="D296" s="45" t="s">
        <v>17</v>
      </c>
      <c r="E296" s="50">
        <v>0.3440860215053763</v>
      </c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35">
        <v>5.002424E7</v>
      </c>
      <c r="B297" s="40" t="s">
        <v>1109</v>
      </c>
      <c r="C297" s="43" t="s">
        <v>1110</v>
      </c>
      <c r="D297" s="45" t="s">
        <v>17</v>
      </c>
      <c r="E297" s="50">
        <v>0.1827956989247312</v>
      </c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35">
        <v>5.0024241E7</v>
      </c>
      <c r="B298" s="40" t="s">
        <v>1112</v>
      </c>
      <c r="C298" s="43" t="s">
        <v>1113</v>
      </c>
      <c r="D298" s="45" t="s">
        <v>17</v>
      </c>
      <c r="E298" s="50">
        <v>1.021505376344086</v>
      </c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35">
        <v>5.0024242E7</v>
      </c>
      <c r="B299" s="40" t="s">
        <v>1114</v>
      </c>
      <c r="C299" s="43" t="s">
        <v>1115</v>
      </c>
      <c r="D299" s="45" t="s">
        <v>17</v>
      </c>
      <c r="E299" s="50">
        <v>4.204301075268817</v>
      </c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35">
        <v>5.0024243E7</v>
      </c>
      <c r="B300" s="40" t="s">
        <v>1117</v>
      </c>
      <c r="C300" s="43" t="s">
        <v>1118</v>
      </c>
      <c r="D300" s="45" t="s">
        <v>17</v>
      </c>
      <c r="E300" s="50">
        <v>2.225806451612903</v>
      </c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35">
        <v>5.0024244E7</v>
      </c>
      <c r="B301" s="40" t="s">
        <v>1120</v>
      </c>
      <c r="C301" s="43" t="s">
        <v>1121</v>
      </c>
      <c r="D301" s="45" t="s">
        <v>17</v>
      </c>
      <c r="E301" s="50">
        <v>80.3010752688172</v>
      </c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35">
        <v>5.0024245E7</v>
      </c>
      <c r="B302" s="40" t="s">
        <v>1124</v>
      </c>
      <c r="C302" s="43" t="s">
        <v>1125</v>
      </c>
      <c r="D302" s="45" t="s">
        <v>17</v>
      </c>
      <c r="E302" s="50">
        <v>35.6989247311828</v>
      </c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35">
        <v>5.0024246E7</v>
      </c>
      <c r="B303" s="40" t="s">
        <v>1127</v>
      </c>
      <c r="C303" s="43" t="s">
        <v>1128</v>
      </c>
      <c r="D303" s="45" t="s">
        <v>17</v>
      </c>
      <c r="E303" s="50">
        <v>26.0</v>
      </c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35">
        <v>5.0024247E7</v>
      </c>
      <c r="B304" s="40" t="s">
        <v>1130</v>
      </c>
      <c r="C304" s="43" t="s">
        <v>1131</v>
      </c>
      <c r="D304" s="45" t="s">
        <v>17</v>
      </c>
      <c r="E304" s="50">
        <v>16.602150537634408</v>
      </c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35">
        <v>5.0024248E7</v>
      </c>
      <c r="B305" s="40" t="s">
        <v>1133</v>
      </c>
      <c r="C305" s="43" t="s">
        <v>1134</v>
      </c>
      <c r="D305" s="45" t="s">
        <v>202</v>
      </c>
      <c r="E305" s="50">
        <v>11.204301075268816</v>
      </c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35">
        <v>5.0024249E7</v>
      </c>
      <c r="B306" s="40" t="s">
        <v>1135</v>
      </c>
      <c r="C306" s="43" t="s">
        <v>1136</v>
      </c>
      <c r="D306" s="45" t="s">
        <v>202</v>
      </c>
      <c r="E306" s="50">
        <v>13.096774193548386</v>
      </c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35">
        <v>5.002425E7</v>
      </c>
      <c r="B307" s="40" t="s">
        <v>1138</v>
      </c>
      <c r="C307" s="43" t="s">
        <v>1139</v>
      </c>
      <c r="D307" s="45" t="s">
        <v>202</v>
      </c>
      <c r="E307" s="50">
        <v>16.79569892473118</v>
      </c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35">
        <v>5.0024251E7</v>
      </c>
      <c r="B308" s="40" t="s">
        <v>1141</v>
      </c>
      <c r="C308" s="43" t="s">
        <v>1142</v>
      </c>
      <c r="D308" s="45" t="s">
        <v>202</v>
      </c>
      <c r="E308" s="50">
        <v>20.494623655913976</v>
      </c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35">
        <v>5.0024252E7</v>
      </c>
      <c r="B309" s="40" t="s">
        <v>1143</v>
      </c>
      <c r="C309" s="43" t="s">
        <v>1144</v>
      </c>
      <c r="D309" s="45" t="s">
        <v>202</v>
      </c>
      <c r="E309" s="50">
        <v>25.79569892473118</v>
      </c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35">
        <v>5.0024253E7</v>
      </c>
      <c r="B310" s="40" t="s">
        <v>1146</v>
      </c>
      <c r="C310" s="43" t="s">
        <v>1147</v>
      </c>
      <c r="D310" s="45" t="s">
        <v>17</v>
      </c>
      <c r="E310" s="50">
        <v>51.3010752688172</v>
      </c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35">
        <v>5.0024254E7</v>
      </c>
      <c r="B311" s="40" t="s">
        <v>1149</v>
      </c>
      <c r="C311" s="43" t="s">
        <v>1151</v>
      </c>
      <c r="D311" s="45" t="s">
        <v>17</v>
      </c>
      <c r="E311" s="50">
        <v>21.602150537634408</v>
      </c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35">
        <v>5.0024255E7</v>
      </c>
      <c r="B312" s="40" t="s">
        <v>1153</v>
      </c>
      <c r="C312" s="43" t="s">
        <v>1154</v>
      </c>
      <c r="D312" s="45" t="s">
        <v>17</v>
      </c>
      <c r="E312" s="50">
        <v>2.903225806451613</v>
      </c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35">
        <v>5.0024256E7</v>
      </c>
      <c r="B313" s="40" t="s">
        <v>1156</v>
      </c>
      <c r="C313" s="43" t="s">
        <v>1157</v>
      </c>
      <c r="D313" s="45" t="s">
        <v>17</v>
      </c>
      <c r="E313" s="50">
        <v>528.3010752688172</v>
      </c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35">
        <v>5.0024257E7</v>
      </c>
      <c r="B314" s="40" t="s">
        <v>1159</v>
      </c>
      <c r="C314" s="43" t="s">
        <v>1160</v>
      </c>
      <c r="D314" s="45" t="s">
        <v>17</v>
      </c>
      <c r="E314" s="50">
        <v>458.0</v>
      </c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35">
        <v>5.0024258E7</v>
      </c>
      <c r="B315" s="40" t="s">
        <v>1162</v>
      </c>
      <c r="C315" s="43" t="s">
        <v>1163</v>
      </c>
      <c r="D315" s="45" t="s">
        <v>17</v>
      </c>
      <c r="E315" s="50">
        <v>386.9032258064516</v>
      </c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35">
        <v>5.0024259E7</v>
      </c>
      <c r="B316" s="40" t="s">
        <v>1166</v>
      </c>
      <c r="C316" s="43" t="s">
        <v>1167</v>
      </c>
      <c r="D316" s="45" t="s">
        <v>17</v>
      </c>
      <c r="E316" s="50">
        <v>286.494623655914</v>
      </c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35">
        <v>5.002426E7</v>
      </c>
      <c r="B317" s="40" t="s">
        <v>1169</v>
      </c>
      <c r="C317" s="43" t="s">
        <v>1170</v>
      </c>
      <c r="D317" s="45" t="s">
        <v>17</v>
      </c>
      <c r="E317" s="50">
        <v>248.09677419354836</v>
      </c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35">
        <v>5.0024261E7</v>
      </c>
      <c r="B318" s="40" t="s">
        <v>1173</v>
      </c>
      <c r="C318" s="43" t="s">
        <v>1174</v>
      </c>
      <c r="D318" s="45" t="s">
        <v>17</v>
      </c>
      <c r="E318" s="50">
        <v>580.3978494623656</v>
      </c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35">
        <v>5.0024262E7</v>
      </c>
      <c r="B319" s="40" t="s">
        <v>1176</v>
      </c>
      <c r="C319" s="43" t="s">
        <v>1178</v>
      </c>
      <c r="D319" s="45" t="s">
        <v>17</v>
      </c>
      <c r="E319" s="50">
        <v>479.2043010752688</v>
      </c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35">
        <v>5.0024263E7</v>
      </c>
      <c r="B320" s="40" t="s">
        <v>1180</v>
      </c>
      <c r="C320" s="43" t="s">
        <v>1181</v>
      </c>
      <c r="D320" s="45" t="s">
        <v>17</v>
      </c>
      <c r="E320" s="50">
        <v>427.2043010752688</v>
      </c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35">
        <v>5.0024264E7</v>
      </c>
      <c r="B321" s="40" t="s">
        <v>1183</v>
      </c>
      <c r="C321" s="43" t="s">
        <v>1185</v>
      </c>
      <c r="D321" s="45" t="s">
        <v>17</v>
      </c>
      <c r="E321" s="50">
        <v>303.79569892473114</v>
      </c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35">
        <v>5.0024265E7</v>
      </c>
      <c r="B322" s="40" t="s">
        <v>1187</v>
      </c>
      <c r="C322" s="43" t="s">
        <v>1188</v>
      </c>
      <c r="D322" s="45" t="s">
        <v>17</v>
      </c>
      <c r="E322" s="50">
        <v>277.7956989247312</v>
      </c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35">
        <v>5.0024266E7</v>
      </c>
      <c r="B323" s="40" t="s">
        <v>1190</v>
      </c>
      <c r="C323" s="43" t="s">
        <v>1191</v>
      </c>
      <c r="D323" s="45" t="s">
        <v>17</v>
      </c>
      <c r="E323" s="50">
        <v>4.397849462365591</v>
      </c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35">
        <v>5.0024267E7</v>
      </c>
      <c r="B324" s="40" t="s">
        <v>1193</v>
      </c>
      <c r="C324" s="43" t="s">
        <v>1194</v>
      </c>
      <c r="D324" s="45" t="s">
        <v>17</v>
      </c>
      <c r="E324" s="50">
        <v>4.698924731182796</v>
      </c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35">
        <v>5.0024268E7</v>
      </c>
      <c r="B325" s="40" t="s">
        <v>1197</v>
      </c>
      <c r="C325" s="43" t="s">
        <v>1198</v>
      </c>
      <c r="D325" s="45" t="s">
        <v>17</v>
      </c>
      <c r="E325" s="50">
        <v>5.795698924731182</v>
      </c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35">
        <v>5.0024269E7</v>
      </c>
      <c r="B326" s="40" t="s">
        <v>530</v>
      </c>
      <c r="C326" s="43" t="s">
        <v>531</v>
      </c>
      <c r="D326" s="45" t="s">
        <v>17</v>
      </c>
      <c r="E326" s="50">
        <v>28.602150537634408</v>
      </c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35">
        <v>5.002427E7</v>
      </c>
      <c r="B327" s="40" t="s">
        <v>537</v>
      </c>
      <c r="C327" s="43" t="s">
        <v>538</v>
      </c>
      <c r="D327" s="45" t="s">
        <v>17</v>
      </c>
      <c r="E327" s="50">
        <v>19.301075268817204</v>
      </c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35">
        <v>5.0024271E7</v>
      </c>
      <c r="B328" s="40" t="s">
        <v>1202</v>
      </c>
      <c r="C328" s="43" t="s">
        <v>1203</v>
      </c>
      <c r="D328" s="45" t="s">
        <v>202</v>
      </c>
      <c r="E328" s="50">
        <v>6.999999999999999</v>
      </c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35">
        <v>5.002356E7</v>
      </c>
      <c r="B329" s="40" t="s">
        <v>1205</v>
      </c>
      <c r="C329" s="43" t="s">
        <v>1206</v>
      </c>
      <c r="D329" s="45" t="s">
        <v>202</v>
      </c>
      <c r="E329" s="50">
        <v>7.301075268817204</v>
      </c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35">
        <v>5.0023561E7</v>
      </c>
      <c r="B330" s="40" t="s">
        <v>1208</v>
      </c>
      <c r="C330" s="43" t="s">
        <v>1209</v>
      </c>
      <c r="D330" s="45" t="s">
        <v>202</v>
      </c>
      <c r="E330" s="50">
        <v>10.39784946236559</v>
      </c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35">
        <v>5.0023562E7</v>
      </c>
      <c r="B331" s="40" t="s">
        <v>1212</v>
      </c>
      <c r="C331" s="43" t="s">
        <v>1213</v>
      </c>
      <c r="D331" s="45" t="s">
        <v>202</v>
      </c>
      <c r="E331" s="50">
        <v>14.494623655913978</v>
      </c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35">
        <v>5.0023563E7</v>
      </c>
      <c r="B332" s="40" t="s">
        <v>1215</v>
      </c>
      <c r="C332" s="43" t="s">
        <v>1216</v>
      </c>
      <c r="D332" s="45" t="s">
        <v>202</v>
      </c>
      <c r="E332" s="50">
        <v>17.903225806451612</v>
      </c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35">
        <v>5.0023564E7</v>
      </c>
      <c r="B333" s="40" t="s">
        <v>1218</v>
      </c>
      <c r="C333" s="43" t="s">
        <v>1219</v>
      </c>
      <c r="D333" s="45" t="s">
        <v>202</v>
      </c>
      <c r="E333" s="50">
        <v>6.204301075268816</v>
      </c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35">
        <v>5.0023565E7</v>
      </c>
      <c r="B334" s="40" t="s">
        <v>1221</v>
      </c>
      <c r="C334" s="43" t="s">
        <v>1222</v>
      </c>
      <c r="D334" s="45" t="s">
        <v>202</v>
      </c>
      <c r="E334" s="50">
        <v>9.204301075268818</v>
      </c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35">
        <v>5.0023566E7</v>
      </c>
      <c r="B335" s="40" t="s">
        <v>1224</v>
      </c>
      <c r="C335" s="43" t="s">
        <v>1225</v>
      </c>
      <c r="D335" s="45" t="s">
        <v>202</v>
      </c>
      <c r="E335" s="50">
        <v>4.795698924731182</v>
      </c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35">
        <v>5.0023567E7</v>
      </c>
      <c r="B336" s="40" t="s">
        <v>1227</v>
      </c>
      <c r="C336" s="43" t="s">
        <v>1228</v>
      </c>
      <c r="D336" s="45" t="s">
        <v>202</v>
      </c>
      <c r="E336" s="50">
        <v>7.494623655913978</v>
      </c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35">
        <v>5.0023568E7</v>
      </c>
      <c r="B337" s="40" t="s">
        <v>1230</v>
      </c>
      <c r="C337" s="43" t="s">
        <v>1231</v>
      </c>
      <c r="D337" s="45" t="s">
        <v>202</v>
      </c>
      <c r="E337" s="50">
        <v>9.494623655913978</v>
      </c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35">
        <v>5.0023569E7</v>
      </c>
      <c r="B338" s="40" t="s">
        <v>1234</v>
      </c>
      <c r="C338" s="43" t="s">
        <v>1235</v>
      </c>
      <c r="D338" s="45" t="s">
        <v>202</v>
      </c>
      <c r="E338" s="50">
        <v>11.096774193548386</v>
      </c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35">
        <v>5.002357E7</v>
      </c>
      <c r="B339" s="40" t="s">
        <v>1237</v>
      </c>
      <c r="C339" s="43" t="s">
        <v>1238</v>
      </c>
      <c r="D339" s="45" t="s">
        <v>202</v>
      </c>
      <c r="E339" s="50">
        <v>3.204301075268817</v>
      </c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35">
        <v>5.0023571E7</v>
      </c>
      <c r="B340" s="40" t="s">
        <v>1239</v>
      </c>
      <c r="C340" s="43" t="s">
        <v>1241</v>
      </c>
      <c r="D340" s="45" t="s">
        <v>202</v>
      </c>
      <c r="E340" s="50">
        <v>6.602150537634408</v>
      </c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35">
        <v>5.0023572E7</v>
      </c>
      <c r="B341" s="40" t="s">
        <v>1242</v>
      </c>
      <c r="C341" s="43" t="s">
        <v>1244</v>
      </c>
      <c r="D341" s="45" t="s">
        <v>202</v>
      </c>
      <c r="E341" s="50">
        <v>8.301075268817204</v>
      </c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35">
        <v>5.0023573E7</v>
      </c>
      <c r="B342" s="40" t="s">
        <v>1245</v>
      </c>
      <c r="C342" s="43" t="s">
        <v>1246</v>
      </c>
      <c r="D342" s="45" t="s">
        <v>202</v>
      </c>
      <c r="E342" s="50">
        <v>11.494623655913978</v>
      </c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35">
        <v>5.0023574E7</v>
      </c>
      <c r="B343" s="40" t="s">
        <v>1248</v>
      </c>
      <c r="C343" s="43" t="s">
        <v>1249</v>
      </c>
      <c r="D343" s="45" t="s">
        <v>202</v>
      </c>
      <c r="E343" s="50">
        <v>15.602150537634408</v>
      </c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35">
        <v>5.0023575E7</v>
      </c>
      <c r="B344" s="40" t="s">
        <v>1251</v>
      </c>
      <c r="C344" s="43" t="s">
        <v>1252</v>
      </c>
      <c r="D344" s="45" t="s">
        <v>202</v>
      </c>
      <c r="E344" s="50">
        <v>18.90322580645161</v>
      </c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35">
        <v>5.0023576E7</v>
      </c>
      <c r="B345" s="40" t="s">
        <v>1254</v>
      </c>
      <c r="C345" s="43" t="s">
        <v>1255</v>
      </c>
      <c r="D345" s="45" t="s">
        <v>202</v>
      </c>
      <c r="E345" s="50">
        <v>7.096774193548386</v>
      </c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35">
        <v>5.0023577E7</v>
      </c>
      <c r="B346" s="40" t="s">
        <v>1256</v>
      </c>
      <c r="C346" s="43" t="s">
        <v>1257</v>
      </c>
      <c r="D346" s="45" t="s">
        <v>202</v>
      </c>
      <c r="E346" s="50">
        <v>10.204301075268816</v>
      </c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35">
        <v>5.0023578E7</v>
      </c>
      <c r="B347" s="40" t="s">
        <v>1259</v>
      </c>
      <c r="C347" s="43" t="s">
        <v>1260</v>
      </c>
      <c r="D347" s="45" t="s">
        <v>306</v>
      </c>
      <c r="E347" s="50">
        <v>21.0</v>
      </c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35">
        <v>5.0023579E7</v>
      </c>
      <c r="B348" s="40" t="s">
        <v>1262</v>
      </c>
      <c r="C348" s="43" t="s">
        <v>1263</v>
      </c>
      <c r="D348" s="45" t="s">
        <v>202</v>
      </c>
      <c r="E348" s="50">
        <v>0.5268817204301075</v>
      </c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35">
        <v>5.002358E7</v>
      </c>
      <c r="B349" s="40" t="s">
        <v>1264</v>
      </c>
      <c r="C349" s="43" t="s">
        <v>1265</v>
      </c>
      <c r="D349" s="45" t="s">
        <v>17</v>
      </c>
      <c r="E349" s="50">
        <v>21.0</v>
      </c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35">
        <v>5.0023581E7</v>
      </c>
      <c r="B350" s="40" t="s">
        <v>1267</v>
      </c>
      <c r="C350" s="43" t="s">
        <v>1268</v>
      </c>
      <c r="D350" s="45" t="s">
        <v>17</v>
      </c>
      <c r="E350" s="50">
        <v>57.79569892473118</v>
      </c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35">
        <v>5.0023582E7</v>
      </c>
      <c r="B351" s="40" t="s">
        <v>1270</v>
      </c>
      <c r="C351" s="43" t="s">
        <v>1271</v>
      </c>
      <c r="D351" s="45" t="s">
        <v>17</v>
      </c>
      <c r="E351" s="50">
        <v>68.3010752688172</v>
      </c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35">
        <v>5.0023583E7</v>
      </c>
      <c r="B352" s="40" t="s">
        <v>1273</v>
      </c>
      <c r="C352" s="43" t="s">
        <v>1274</v>
      </c>
      <c r="D352" s="45" t="s">
        <v>17</v>
      </c>
      <c r="E352" s="50">
        <v>178.49462365591395</v>
      </c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35">
        <v>5.0023584E7</v>
      </c>
      <c r="B353" s="40" t="s">
        <v>1276</v>
      </c>
      <c r="C353" s="43" t="s">
        <v>1277</v>
      </c>
      <c r="D353" s="45" t="s">
        <v>17</v>
      </c>
      <c r="E353" s="50">
        <v>189.0</v>
      </c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35">
        <v>5.0023585E7</v>
      </c>
      <c r="B354" s="40" t="s">
        <v>1279</v>
      </c>
      <c r="C354" s="43" t="s">
        <v>1280</v>
      </c>
      <c r="D354" s="45" t="s">
        <v>202</v>
      </c>
      <c r="E354" s="50">
        <v>0.8494623655913979</v>
      </c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35">
        <v>5.0023586E7</v>
      </c>
      <c r="B355" s="40" t="s">
        <v>1281</v>
      </c>
      <c r="C355" s="43" t="s">
        <v>1282</v>
      </c>
      <c r="D355" s="45" t="s">
        <v>202</v>
      </c>
      <c r="E355" s="50">
        <v>126.0</v>
      </c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35">
        <v>5.0023587E7</v>
      </c>
      <c r="B356" s="40" t="s">
        <v>1285</v>
      </c>
      <c r="C356" s="43" t="s">
        <v>1286</v>
      </c>
      <c r="D356" s="45" t="s">
        <v>17</v>
      </c>
      <c r="E356" s="50">
        <v>10.494623655913978</v>
      </c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35">
        <v>5.0023588E7</v>
      </c>
      <c r="B357" s="40" t="s">
        <v>1288</v>
      </c>
      <c r="C357" s="43" t="s">
        <v>1289</v>
      </c>
      <c r="D357" s="45" t="s">
        <v>306</v>
      </c>
      <c r="E357" s="50">
        <v>4.795698924731182</v>
      </c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35">
        <v>5.0023589E7</v>
      </c>
      <c r="B358" s="40" t="s">
        <v>1291</v>
      </c>
      <c r="C358" s="43" t="s">
        <v>1292</v>
      </c>
      <c r="D358" s="45" t="s">
        <v>306</v>
      </c>
      <c r="E358" s="50">
        <v>9.301075268817204</v>
      </c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35">
        <v>5.002359E7</v>
      </c>
      <c r="B359" s="40" t="s">
        <v>1294</v>
      </c>
      <c r="C359" s="43" t="s">
        <v>1296</v>
      </c>
      <c r="D359" s="45" t="s">
        <v>306</v>
      </c>
      <c r="E359" s="50">
        <v>39.90322580645161</v>
      </c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35">
        <v>5.0023591E7</v>
      </c>
      <c r="B360" s="40" t="s">
        <v>1297</v>
      </c>
      <c r="C360" s="43" t="s">
        <v>1298</v>
      </c>
      <c r="D360" s="45" t="s">
        <v>306</v>
      </c>
      <c r="E360" s="50">
        <v>42.0</v>
      </c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35">
        <v>5.0023592E7</v>
      </c>
      <c r="B361" s="40" t="s">
        <v>1300</v>
      </c>
      <c r="C361" s="43" t="s">
        <v>1301</v>
      </c>
      <c r="D361" s="45" t="s">
        <v>202</v>
      </c>
      <c r="E361" s="50">
        <v>11.602150537634406</v>
      </c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35">
        <v>5.0023593E7</v>
      </c>
      <c r="B362" s="40" t="s">
        <v>1303</v>
      </c>
      <c r="C362" s="43" t="s">
        <v>1304</v>
      </c>
      <c r="D362" s="45" t="s">
        <v>202</v>
      </c>
      <c r="E362" s="50">
        <v>25.204301075268816</v>
      </c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35">
        <v>5.0023594E7</v>
      </c>
      <c r="B363" s="40" t="s">
        <v>1305</v>
      </c>
      <c r="C363" s="43" t="s">
        <v>1306</v>
      </c>
      <c r="D363" s="45" t="s">
        <v>202</v>
      </c>
      <c r="E363" s="50">
        <v>13.698924731182796</v>
      </c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35">
        <v>5.0023595E7</v>
      </c>
      <c r="B364" s="40" t="s">
        <v>1308</v>
      </c>
      <c r="C364" s="43" t="s">
        <v>1309</v>
      </c>
      <c r="D364" s="45" t="s">
        <v>202</v>
      </c>
      <c r="E364" s="50">
        <v>27.301075268817204</v>
      </c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35">
        <v>5.0023596E7</v>
      </c>
      <c r="B365" s="40" t="s">
        <v>1311</v>
      </c>
      <c r="C365" s="43" t="s">
        <v>1312</v>
      </c>
      <c r="D365" s="45" t="s">
        <v>202</v>
      </c>
      <c r="E365" s="50">
        <v>55.3010752688172</v>
      </c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35">
        <v>5.0023622E7</v>
      </c>
      <c r="B366" s="40" t="s">
        <v>1314</v>
      </c>
      <c r="C366" s="43" t="s">
        <v>1206</v>
      </c>
      <c r="D366" s="45" t="s">
        <v>202</v>
      </c>
      <c r="E366" s="50">
        <v>7.903225806451612</v>
      </c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35">
        <v>5.0023623E7</v>
      </c>
      <c r="B367" s="40" t="s">
        <v>1316</v>
      </c>
      <c r="C367" s="43" t="s">
        <v>1209</v>
      </c>
      <c r="D367" s="45" t="s">
        <v>202</v>
      </c>
      <c r="E367" s="50">
        <v>11.494623655913978</v>
      </c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35">
        <v>5.0023624E7</v>
      </c>
      <c r="B368" s="40" t="s">
        <v>1318</v>
      </c>
      <c r="C368" s="43" t="s">
        <v>1213</v>
      </c>
      <c r="D368" s="45" t="s">
        <v>202</v>
      </c>
      <c r="E368" s="50">
        <v>14.494623655913978</v>
      </c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35">
        <v>5.0023625E7</v>
      </c>
      <c r="B369" s="40" t="s">
        <v>1320</v>
      </c>
      <c r="C369" s="43" t="s">
        <v>1216</v>
      </c>
      <c r="D369" s="45" t="s">
        <v>202</v>
      </c>
      <c r="E369" s="50">
        <v>17.903225806451612</v>
      </c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35">
        <v>5.0023626E7</v>
      </c>
      <c r="B370" s="40" t="s">
        <v>1323</v>
      </c>
      <c r="C370" s="43" t="s">
        <v>1222</v>
      </c>
      <c r="D370" s="45" t="s">
        <v>202</v>
      </c>
      <c r="E370" s="50">
        <v>9.698924731182794</v>
      </c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35">
        <v>5.0023627E7</v>
      </c>
      <c r="B371" s="40" t="s">
        <v>1325</v>
      </c>
      <c r="C371" s="43" t="s">
        <v>1219</v>
      </c>
      <c r="D371" s="45" t="s">
        <v>202</v>
      </c>
      <c r="E371" s="50">
        <v>6.698924731182796</v>
      </c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35">
        <v>5.0023628E7</v>
      </c>
      <c r="B372" s="40" t="s">
        <v>1327</v>
      </c>
      <c r="C372" s="43" t="s">
        <v>1225</v>
      </c>
      <c r="D372" s="45" t="s">
        <v>202</v>
      </c>
      <c r="E372" s="50">
        <v>4.602150537634409</v>
      </c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35">
        <v>5.0023629E7</v>
      </c>
      <c r="B373" s="40" t="s">
        <v>1329</v>
      </c>
      <c r="C373" s="43" t="s">
        <v>1228</v>
      </c>
      <c r="D373" s="45" t="s">
        <v>202</v>
      </c>
      <c r="E373" s="50">
        <v>7.494623655913978</v>
      </c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35">
        <v>5.002363E7</v>
      </c>
      <c r="B374" s="40" t="s">
        <v>1332</v>
      </c>
      <c r="C374" s="43" t="s">
        <v>1231</v>
      </c>
      <c r="D374" s="45" t="s">
        <v>202</v>
      </c>
      <c r="E374" s="50">
        <v>9.494623655913978</v>
      </c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35">
        <v>5.0023631E7</v>
      </c>
      <c r="B375" s="40" t="s">
        <v>1334</v>
      </c>
      <c r="C375" s="43" t="s">
        <v>1235</v>
      </c>
      <c r="D375" s="45" t="s">
        <v>202</v>
      </c>
      <c r="E375" s="50">
        <v>11.096774193548386</v>
      </c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35">
        <v>5.0023632E7</v>
      </c>
      <c r="B376" s="40" t="s">
        <v>1336</v>
      </c>
      <c r="C376" s="43" t="s">
        <v>1241</v>
      </c>
      <c r="D376" s="45" t="s">
        <v>202</v>
      </c>
      <c r="E376" s="50">
        <v>6.602150537634408</v>
      </c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35">
        <v>5.0023633E7</v>
      </c>
      <c r="B377" s="40" t="s">
        <v>1338</v>
      </c>
      <c r="C377" s="43" t="s">
        <v>1238</v>
      </c>
      <c r="D377" s="45" t="s">
        <v>202</v>
      </c>
      <c r="E377" s="50">
        <v>3.204301075268817</v>
      </c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35">
        <v>5.0023634E7</v>
      </c>
      <c r="B378" s="40" t="s">
        <v>1340</v>
      </c>
      <c r="C378" s="43" t="s">
        <v>1244</v>
      </c>
      <c r="D378" s="45" t="s">
        <v>202</v>
      </c>
      <c r="E378" s="50">
        <v>12.602150537634408</v>
      </c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35">
        <v>5.0023635E7</v>
      </c>
      <c r="B379" s="40" t="s">
        <v>1342</v>
      </c>
      <c r="C379" s="43" t="s">
        <v>1246</v>
      </c>
      <c r="D379" s="45" t="s">
        <v>202</v>
      </c>
      <c r="E379" s="50">
        <v>15.39784946236559</v>
      </c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35">
        <v>5.0023636E7</v>
      </c>
      <c r="B380" s="40" t="s">
        <v>1345</v>
      </c>
      <c r="C380" s="43" t="s">
        <v>1249</v>
      </c>
      <c r="D380" s="45" t="s">
        <v>202</v>
      </c>
      <c r="E380" s="50">
        <v>17.301075268817204</v>
      </c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35">
        <v>5.0023637E7</v>
      </c>
      <c r="B381" s="40" t="s">
        <v>1347</v>
      </c>
      <c r="C381" s="43" t="s">
        <v>1252</v>
      </c>
      <c r="D381" s="45" t="s">
        <v>202</v>
      </c>
      <c r="E381" s="50">
        <v>18.795698924731184</v>
      </c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35">
        <v>5.0023638E7</v>
      </c>
      <c r="B382" s="40" t="s">
        <v>1350</v>
      </c>
      <c r="C382" s="43" t="s">
        <v>1257</v>
      </c>
      <c r="D382" s="45" t="s">
        <v>202</v>
      </c>
      <c r="E382" s="50">
        <v>14.494623655913978</v>
      </c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35">
        <v>5.0023639E7</v>
      </c>
      <c r="B383" s="40" t="s">
        <v>1352</v>
      </c>
      <c r="C383" s="43" t="s">
        <v>1255</v>
      </c>
      <c r="D383" s="45" t="s">
        <v>202</v>
      </c>
      <c r="E383" s="50">
        <v>11.301075268817204</v>
      </c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35">
        <v>5.0023597E7</v>
      </c>
      <c r="B384" s="40" t="s">
        <v>1354</v>
      </c>
      <c r="C384" s="43" t="s">
        <v>1355</v>
      </c>
      <c r="D384" s="45" t="s">
        <v>202</v>
      </c>
      <c r="E384" s="50">
        <v>5.301075268817204</v>
      </c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35">
        <v>5.0023598E7</v>
      </c>
      <c r="B385" s="40" t="s">
        <v>1358</v>
      </c>
      <c r="C385" s="43" t="s">
        <v>1359</v>
      </c>
      <c r="D385" s="45" t="s">
        <v>202</v>
      </c>
      <c r="E385" s="50">
        <v>6.795698924731183</v>
      </c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35">
        <v>5.0023599E7</v>
      </c>
      <c r="B386" s="40" t="s">
        <v>1361</v>
      </c>
      <c r="C386" s="43" t="s">
        <v>1362</v>
      </c>
      <c r="D386" s="45" t="s">
        <v>202</v>
      </c>
      <c r="E386" s="50">
        <v>2.7526881720430105</v>
      </c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35">
        <v>5.00236E7</v>
      </c>
      <c r="B387" s="40" t="s">
        <v>1364</v>
      </c>
      <c r="C387" s="43" t="s">
        <v>1365</v>
      </c>
      <c r="D387" s="45" t="s">
        <v>202</v>
      </c>
      <c r="E387" s="50">
        <v>6.204301075268816</v>
      </c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35">
        <v>5.0023601E7</v>
      </c>
      <c r="B388" s="40" t="s">
        <v>1367</v>
      </c>
      <c r="C388" s="43" t="s">
        <v>1368</v>
      </c>
      <c r="D388" s="45" t="s">
        <v>202</v>
      </c>
      <c r="E388" s="50">
        <v>7.301075268817204</v>
      </c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35">
        <v>5.0023602E7</v>
      </c>
      <c r="B389" s="40" t="s">
        <v>1371</v>
      </c>
      <c r="C389" s="43" t="s">
        <v>1372</v>
      </c>
      <c r="D389" s="45" t="s">
        <v>202</v>
      </c>
      <c r="E389" s="50">
        <v>3.0</v>
      </c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35">
        <v>5.0023603E7</v>
      </c>
      <c r="B390" s="40" t="s">
        <v>1375</v>
      </c>
      <c r="C390" s="43" t="s">
        <v>1376</v>
      </c>
      <c r="D390" s="45" t="s">
        <v>202</v>
      </c>
      <c r="E390" s="50">
        <v>6.301075268817204</v>
      </c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35">
        <v>5.0023604E7</v>
      </c>
      <c r="B391" s="40" t="s">
        <v>1378</v>
      </c>
      <c r="C391" s="43" t="s">
        <v>1379</v>
      </c>
      <c r="D391" s="45" t="s">
        <v>202</v>
      </c>
      <c r="E391" s="50">
        <v>7.397849462365591</v>
      </c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35">
        <v>5.0023605E7</v>
      </c>
      <c r="B392" s="40" t="s">
        <v>1381</v>
      </c>
      <c r="C392" s="43" t="s">
        <v>1382</v>
      </c>
      <c r="D392" s="45" t="s">
        <v>202</v>
      </c>
      <c r="E392" s="50">
        <v>3.3978494623655915</v>
      </c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35">
        <v>5.0023606E7</v>
      </c>
      <c r="B393" s="40" t="s">
        <v>1384</v>
      </c>
      <c r="C393" s="43" t="s">
        <v>1385</v>
      </c>
      <c r="D393" s="45" t="s">
        <v>202</v>
      </c>
      <c r="E393" s="50">
        <v>8.096774193548386</v>
      </c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35">
        <v>5.0023607E7</v>
      </c>
      <c r="B394" s="40" t="s">
        <v>1387</v>
      </c>
      <c r="C394" s="43" t="s">
        <v>1388</v>
      </c>
      <c r="D394" s="45" t="s">
        <v>202</v>
      </c>
      <c r="E394" s="50">
        <v>9.204301075268818</v>
      </c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35">
        <v>5.0023608E7</v>
      </c>
      <c r="B395" s="40" t="s">
        <v>1390</v>
      </c>
      <c r="C395" s="43" t="s">
        <v>1391</v>
      </c>
      <c r="D395" s="45" t="s">
        <v>202</v>
      </c>
      <c r="E395" s="50">
        <v>4.494623655913978</v>
      </c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35">
        <v>5.0023609E7</v>
      </c>
      <c r="B396" s="40" t="s">
        <v>1393</v>
      </c>
      <c r="C396" s="43" t="s">
        <v>1394</v>
      </c>
      <c r="D396" s="45" t="s">
        <v>202</v>
      </c>
      <c r="E396" s="50">
        <v>44.0</v>
      </c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35">
        <v>5.002361E7</v>
      </c>
      <c r="B397" s="40" t="s">
        <v>1396</v>
      </c>
      <c r="C397" s="43" t="s">
        <v>1397</v>
      </c>
      <c r="D397" s="45" t="s">
        <v>202</v>
      </c>
      <c r="E397" s="50">
        <v>26.301075268817204</v>
      </c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35">
        <v>5.0023611E7</v>
      </c>
      <c r="B398" s="40" t="s">
        <v>1399</v>
      </c>
      <c r="C398" s="43" t="s">
        <v>1400</v>
      </c>
      <c r="D398" s="45" t="s">
        <v>202</v>
      </c>
      <c r="E398" s="50">
        <v>88.0</v>
      </c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35">
        <v>5.0023612E7</v>
      </c>
      <c r="B399" s="40" t="s">
        <v>1402</v>
      </c>
      <c r="C399" s="43" t="s">
        <v>1403</v>
      </c>
      <c r="D399" s="45" t="s">
        <v>202</v>
      </c>
      <c r="E399" s="50">
        <v>52.494623655913976</v>
      </c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35">
        <v>5.0023613E7</v>
      </c>
      <c r="B400" s="40" t="s">
        <v>1405</v>
      </c>
      <c r="C400" s="43" t="s">
        <v>1406</v>
      </c>
      <c r="D400" s="45" t="s">
        <v>202</v>
      </c>
      <c r="E400" s="50">
        <v>120.79569892473118</v>
      </c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35">
        <v>5.0023614E7</v>
      </c>
      <c r="B401" s="40" t="s">
        <v>1408</v>
      </c>
      <c r="C401" s="43" t="s">
        <v>1409</v>
      </c>
      <c r="D401" s="45" t="s">
        <v>202</v>
      </c>
      <c r="E401" s="50">
        <v>78.79569892473118</v>
      </c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35">
        <v>5.0023615E7</v>
      </c>
      <c r="B402" s="40" t="s">
        <v>548</v>
      </c>
      <c r="C402" s="43" t="s">
        <v>550</v>
      </c>
      <c r="D402" s="45" t="s">
        <v>202</v>
      </c>
      <c r="E402" s="50">
        <v>93.49462365591398</v>
      </c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35">
        <v>5.0023616E7</v>
      </c>
      <c r="B403" s="40" t="s">
        <v>553</v>
      </c>
      <c r="C403" s="43" t="s">
        <v>554</v>
      </c>
      <c r="D403" s="45" t="s">
        <v>202</v>
      </c>
      <c r="E403" s="50">
        <v>68.3010752688172</v>
      </c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35">
        <v>5.0023617E7</v>
      </c>
      <c r="B404" s="40" t="s">
        <v>557</v>
      </c>
      <c r="C404" s="43" t="s">
        <v>559</v>
      </c>
      <c r="D404" s="45" t="s">
        <v>202</v>
      </c>
      <c r="E404" s="50">
        <v>131.3010752688172</v>
      </c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35">
        <v>5.0023618E7</v>
      </c>
      <c r="B405" s="40" t="s">
        <v>561</v>
      </c>
      <c r="C405" s="43" t="s">
        <v>563</v>
      </c>
      <c r="D405" s="45" t="s">
        <v>202</v>
      </c>
      <c r="E405" s="50">
        <v>94.49462365591397</v>
      </c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35">
        <v>5.0023619E7</v>
      </c>
      <c r="B406" s="40" t="s">
        <v>567</v>
      </c>
      <c r="C406" s="43" t="s">
        <v>568</v>
      </c>
      <c r="D406" s="45" t="s">
        <v>202</v>
      </c>
      <c r="E406" s="50">
        <v>168.0</v>
      </c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35">
        <v>5.002362E7</v>
      </c>
      <c r="B407" s="40" t="s">
        <v>571</v>
      </c>
      <c r="C407" s="43" t="s">
        <v>572</v>
      </c>
      <c r="D407" s="45" t="s">
        <v>202</v>
      </c>
      <c r="E407" s="50">
        <v>115.49462365591397</v>
      </c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35">
        <v>5.0023621E7</v>
      </c>
      <c r="B408" s="40" t="s">
        <v>1416</v>
      </c>
      <c r="C408" s="43" t="s">
        <v>1417</v>
      </c>
      <c r="D408" s="45" t="s">
        <v>17</v>
      </c>
      <c r="E408" s="50">
        <v>1033.2043010752689</v>
      </c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35">
        <v>5.002364E7</v>
      </c>
      <c r="B409" s="40" t="s">
        <v>1418</v>
      </c>
      <c r="C409" s="43" t="s">
        <v>1419</v>
      </c>
      <c r="D409" s="45" t="s">
        <v>17</v>
      </c>
      <c r="E409" s="50">
        <v>388.494623655914</v>
      </c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35">
        <v>5.0023641E7</v>
      </c>
      <c r="B410" s="40" t="s">
        <v>1421</v>
      </c>
      <c r="C410" s="43" t="s">
        <v>1422</v>
      </c>
      <c r="D410" s="45" t="s">
        <v>17</v>
      </c>
      <c r="E410" s="50">
        <v>272.99999999999994</v>
      </c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35">
        <v>5.0023642E7</v>
      </c>
      <c r="B411" s="40" t="s">
        <v>1424</v>
      </c>
      <c r="C411" s="43" t="s">
        <v>1425</v>
      </c>
      <c r="D411" s="45" t="s">
        <v>17</v>
      </c>
      <c r="E411" s="50">
        <v>241.49462365591398</v>
      </c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35">
        <v>5.0023643E7</v>
      </c>
      <c r="B412" s="40" t="s">
        <v>1427</v>
      </c>
      <c r="C412" s="43" t="s">
        <v>1428</v>
      </c>
      <c r="D412" s="45" t="s">
        <v>17</v>
      </c>
      <c r="E412" s="50">
        <v>40.0</v>
      </c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35">
        <v>5.0023644E7</v>
      </c>
      <c r="B413" s="40" t="s">
        <v>1430</v>
      </c>
      <c r="C413" s="43" t="s">
        <v>1431</v>
      </c>
      <c r="D413" s="45" t="s">
        <v>17</v>
      </c>
      <c r="E413" s="50">
        <v>94.49462365591397</v>
      </c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35">
        <v>5.0023645E7</v>
      </c>
      <c r="B414" s="40" t="s">
        <v>1433</v>
      </c>
      <c r="C414" s="43" t="s">
        <v>1434</v>
      </c>
      <c r="D414" s="45" t="s">
        <v>330</v>
      </c>
      <c r="E414" s="50">
        <v>20.0</v>
      </c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35">
        <v>5.0023646E7</v>
      </c>
      <c r="B415" s="40" t="s">
        <v>1436</v>
      </c>
      <c r="C415" s="43" t="s">
        <v>1437</v>
      </c>
      <c r="D415" s="45" t="s">
        <v>202</v>
      </c>
      <c r="E415" s="50">
        <v>4.494623655913978</v>
      </c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35">
        <v>5.0023647E7</v>
      </c>
      <c r="B416" s="40" t="s">
        <v>1438</v>
      </c>
      <c r="C416" s="43" t="s">
        <v>1439</v>
      </c>
      <c r="D416" s="45" t="s">
        <v>202</v>
      </c>
      <c r="E416" s="50">
        <v>8.999999999999998</v>
      </c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35">
        <v>5.0023648E7</v>
      </c>
      <c r="B417" s="40" t="s">
        <v>1441</v>
      </c>
      <c r="C417" s="43" t="s">
        <v>1442</v>
      </c>
      <c r="D417" s="45" t="s">
        <v>215</v>
      </c>
      <c r="E417" s="50">
        <v>1000.0</v>
      </c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35">
        <v>5.0023649E7</v>
      </c>
      <c r="B418" s="40" t="s">
        <v>1443</v>
      </c>
      <c r="C418" s="43" t="s">
        <v>1444</v>
      </c>
      <c r="D418" s="45" t="s">
        <v>215</v>
      </c>
      <c r="E418" s="50">
        <v>1400.0</v>
      </c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35">
        <v>5.002365E7</v>
      </c>
      <c r="B419" s="40" t="s">
        <v>1446</v>
      </c>
      <c r="C419" s="43" t="s">
        <v>1447</v>
      </c>
      <c r="D419" s="45" t="s">
        <v>215</v>
      </c>
      <c r="E419" s="50">
        <v>2200.0</v>
      </c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35">
        <v>5.0024272E7</v>
      </c>
      <c r="B420" s="40" t="s">
        <v>1449</v>
      </c>
      <c r="C420" s="43" t="s">
        <v>1450</v>
      </c>
      <c r="D420" s="45" t="s">
        <v>17</v>
      </c>
      <c r="E420" s="50">
        <v>109.99999999999999</v>
      </c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35">
        <v>5.0024273E7</v>
      </c>
      <c r="B421" s="40" t="s">
        <v>1451</v>
      </c>
      <c r="C421" s="43" t="s">
        <v>1450</v>
      </c>
      <c r="D421" s="45" t="s">
        <v>17</v>
      </c>
      <c r="E421" s="50">
        <v>40.0</v>
      </c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35">
        <v>5.0039581E7</v>
      </c>
      <c r="B422" s="40" t="s">
        <v>1453</v>
      </c>
      <c r="C422" s="43" t="s">
        <v>1454</v>
      </c>
      <c r="D422" s="45" t="s">
        <v>17</v>
      </c>
      <c r="E422" s="50">
        <v>44.0</v>
      </c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35">
        <v>5.0039582E7</v>
      </c>
      <c r="B423" s="40" t="s">
        <v>1455</v>
      </c>
      <c r="C423" s="43" t="s">
        <v>1456</v>
      </c>
      <c r="D423" s="45" t="s">
        <v>17</v>
      </c>
      <c r="E423" s="50">
        <v>61.99999999999999</v>
      </c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35">
        <v>5.0039583E7</v>
      </c>
      <c r="B424" s="40" t="s">
        <v>1458</v>
      </c>
      <c r="C424" s="43" t="s">
        <v>1459</v>
      </c>
      <c r="D424" s="45" t="s">
        <v>17</v>
      </c>
      <c r="E424" s="50">
        <v>73.99999999999999</v>
      </c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35">
        <v>5.0039584E7</v>
      </c>
      <c r="B425" s="40" t="s">
        <v>1461</v>
      </c>
      <c r="C425" s="43" t="s">
        <v>1462</v>
      </c>
      <c r="D425" s="45" t="s">
        <v>17</v>
      </c>
      <c r="E425" s="50">
        <v>92.0</v>
      </c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35">
        <v>5.0039585E7</v>
      </c>
      <c r="B426" s="40" t="s">
        <v>1463</v>
      </c>
      <c r="C426" s="43" t="s">
        <v>1464</v>
      </c>
      <c r="D426" s="45" t="s">
        <v>17</v>
      </c>
      <c r="E426" s="50">
        <v>50.0</v>
      </c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35">
        <v>5.0039586E7</v>
      </c>
      <c r="B427" s="40" t="s">
        <v>1466</v>
      </c>
      <c r="C427" s="43" t="s">
        <v>1467</v>
      </c>
      <c r="D427" s="45" t="s">
        <v>17</v>
      </c>
      <c r="E427" s="50">
        <v>50.0</v>
      </c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35">
        <v>5.0039587E7</v>
      </c>
      <c r="B428" s="40" t="s">
        <v>363</v>
      </c>
      <c r="C428" s="43" t="s">
        <v>364</v>
      </c>
      <c r="D428" s="45" t="s">
        <v>215</v>
      </c>
      <c r="E428" s="50">
        <v>50.0</v>
      </c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35">
        <v>5.0039588E7</v>
      </c>
      <c r="B429" s="40" t="s">
        <v>369</v>
      </c>
      <c r="C429" s="43" t="s">
        <v>1469</v>
      </c>
      <c r="D429" s="45" t="s">
        <v>215</v>
      </c>
      <c r="E429" s="50">
        <v>50.0</v>
      </c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35">
        <v>5.0039589E7</v>
      </c>
      <c r="B430" s="40" t="s">
        <v>375</v>
      </c>
      <c r="C430" s="43" t="s">
        <v>376</v>
      </c>
      <c r="D430" s="45" t="s">
        <v>215</v>
      </c>
      <c r="E430" s="50">
        <v>17.999999999999996</v>
      </c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35">
        <v>5.0039601E7</v>
      </c>
      <c r="B431" s="40" t="s">
        <v>1471</v>
      </c>
      <c r="C431" s="43" t="s">
        <v>1472</v>
      </c>
      <c r="D431" s="45" t="s">
        <v>215</v>
      </c>
      <c r="E431" s="50">
        <v>75.0</v>
      </c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35">
        <v>5.0039602E7</v>
      </c>
      <c r="B432" s="40" t="s">
        <v>1474</v>
      </c>
      <c r="C432" s="43" t="s">
        <v>1475</v>
      </c>
      <c r="D432" s="45" t="s">
        <v>215</v>
      </c>
      <c r="E432" s="50">
        <v>94.99999999999999</v>
      </c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35">
        <v>5.0039603E7</v>
      </c>
      <c r="B433" s="40" t="s">
        <v>1477</v>
      </c>
      <c r="C433" s="43" t="s">
        <v>1478</v>
      </c>
      <c r="D433" s="45" t="s">
        <v>215</v>
      </c>
      <c r="E433" s="50">
        <v>119.99999999999999</v>
      </c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35">
        <v>5.0039604E7</v>
      </c>
      <c r="B434" s="40" t="s">
        <v>1480</v>
      </c>
      <c r="C434" s="43" t="s">
        <v>1481</v>
      </c>
      <c r="D434" s="45" t="s">
        <v>215</v>
      </c>
      <c r="E434" s="50">
        <v>139.99999999999997</v>
      </c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35">
        <v>5.0024274E7</v>
      </c>
      <c r="B435" s="40" t="s">
        <v>71</v>
      </c>
      <c r="C435" s="43" t="s">
        <v>72</v>
      </c>
      <c r="D435" s="45" t="s">
        <v>17</v>
      </c>
      <c r="E435" s="50">
        <v>150.0</v>
      </c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35">
        <v>5.0024275E7</v>
      </c>
      <c r="B436" s="40" t="s">
        <v>82</v>
      </c>
      <c r="C436" s="43" t="s">
        <v>84</v>
      </c>
      <c r="D436" s="45" t="s">
        <v>17</v>
      </c>
      <c r="E436" s="50">
        <v>250.0</v>
      </c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35">
        <v>5.0024283E7</v>
      </c>
      <c r="B437" s="40" t="s">
        <v>213</v>
      </c>
      <c r="C437" s="43" t="s">
        <v>214</v>
      </c>
      <c r="D437" s="45" t="s">
        <v>215</v>
      </c>
      <c r="E437" s="50">
        <v>45.0</v>
      </c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35">
        <v>5.0024284E7</v>
      </c>
      <c r="B438" s="40" t="s">
        <v>218</v>
      </c>
      <c r="C438" s="43" t="s">
        <v>220</v>
      </c>
      <c r="D438" s="45" t="s">
        <v>215</v>
      </c>
      <c r="E438" s="50">
        <v>65.0</v>
      </c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35">
        <v>5.0024285E7</v>
      </c>
      <c r="B439" s="40" t="s">
        <v>224</v>
      </c>
      <c r="C439" s="43" t="s">
        <v>225</v>
      </c>
      <c r="D439" s="45" t="s">
        <v>215</v>
      </c>
      <c r="E439" s="50">
        <v>189.99999999999997</v>
      </c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35">
        <v>5.0024286E7</v>
      </c>
      <c r="B440" s="40" t="s">
        <v>229</v>
      </c>
      <c r="C440" s="43" t="s">
        <v>230</v>
      </c>
      <c r="D440" s="45" t="s">
        <v>215</v>
      </c>
      <c r="E440" s="50">
        <v>279.99999999999994</v>
      </c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35">
        <v>5.0024287E7</v>
      </c>
      <c r="B441" s="40" t="s">
        <v>234</v>
      </c>
      <c r="C441" s="43" t="s">
        <v>236</v>
      </c>
      <c r="D441" s="45" t="s">
        <v>215</v>
      </c>
      <c r="E441" s="50">
        <v>379.99999999999994</v>
      </c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35">
        <v>5.0024288E7</v>
      </c>
      <c r="B442" s="40" t="s">
        <v>241</v>
      </c>
      <c r="C442" s="43" t="s">
        <v>242</v>
      </c>
      <c r="D442" s="45" t="s">
        <v>215</v>
      </c>
      <c r="E442" s="50">
        <v>20.0</v>
      </c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35">
        <v>5.0024289E7</v>
      </c>
      <c r="B443" s="40" t="s">
        <v>246</v>
      </c>
      <c r="C443" s="43" t="s">
        <v>247</v>
      </c>
      <c r="D443" s="45" t="s">
        <v>215</v>
      </c>
      <c r="E443" s="50">
        <v>10.0</v>
      </c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35">
        <v>5.003938E7</v>
      </c>
      <c r="B444" s="40" t="s">
        <v>1491</v>
      </c>
      <c r="C444" s="43" t="s">
        <v>1492</v>
      </c>
      <c r="D444" s="45" t="s">
        <v>215</v>
      </c>
      <c r="E444" s="50">
        <v>40.0</v>
      </c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35">
        <v>5.003939E7</v>
      </c>
      <c r="B445" s="40" t="s">
        <v>255</v>
      </c>
      <c r="C445" s="43" t="s">
        <v>1494</v>
      </c>
      <c r="D445" s="45" t="s">
        <v>215</v>
      </c>
      <c r="E445" s="50">
        <v>29.999999999999996</v>
      </c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35">
        <v>5.002429E7</v>
      </c>
      <c r="B446" s="40" t="s">
        <v>261</v>
      </c>
      <c r="C446" s="43" t="s">
        <v>262</v>
      </c>
      <c r="D446" s="45" t="s">
        <v>17</v>
      </c>
      <c r="E446" s="50">
        <v>180.0</v>
      </c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35">
        <v>5.0024291E7</v>
      </c>
      <c r="B447" s="40" t="s">
        <v>267</v>
      </c>
      <c r="C447" s="43" t="s">
        <v>269</v>
      </c>
      <c r="D447" s="45" t="s">
        <v>17</v>
      </c>
      <c r="E447" s="50">
        <v>200.0</v>
      </c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35">
        <v>5.003385E7</v>
      </c>
      <c r="B448" s="40" t="s">
        <v>520</v>
      </c>
      <c r="C448" s="43" t="s">
        <v>521</v>
      </c>
      <c r="D448" s="45" t="s">
        <v>215</v>
      </c>
      <c r="E448" s="50">
        <v>80.0</v>
      </c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35">
        <v>5.0033851E7</v>
      </c>
      <c r="B449" s="40" t="s">
        <v>525</v>
      </c>
      <c r="C449" s="43" t="s">
        <v>526</v>
      </c>
      <c r="D449" s="45" t="s">
        <v>215</v>
      </c>
      <c r="E449" s="50">
        <v>100.0</v>
      </c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35">
        <v>5.0024292E7</v>
      </c>
      <c r="B450" s="40" t="s">
        <v>273</v>
      </c>
      <c r="C450" s="43" t="s">
        <v>274</v>
      </c>
      <c r="D450" s="45" t="s">
        <v>215</v>
      </c>
      <c r="E450" s="50">
        <v>54.99999999999999</v>
      </c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35">
        <v>5.0024293E7</v>
      </c>
      <c r="B451" s="40" t="s">
        <v>278</v>
      </c>
      <c r="C451" s="43" t="s">
        <v>279</v>
      </c>
      <c r="D451" s="45" t="s">
        <v>215</v>
      </c>
      <c r="E451" s="50">
        <v>65.0</v>
      </c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35">
        <v>5.0024294E7</v>
      </c>
      <c r="B452" s="40" t="s">
        <v>284</v>
      </c>
      <c r="C452" s="43" t="s">
        <v>286</v>
      </c>
      <c r="D452" s="45" t="s">
        <v>215</v>
      </c>
      <c r="E452" s="50">
        <v>230.0</v>
      </c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35">
        <v>5.0024295E7</v>
      </c>
      <c r="B453" s="40" t="s">
        <v>290</v>
      </c>
      <c r="C453" s="43" t="s">
        <v>291</v>
      </c>
      <c r="D453" s="45" t="s">
        <v>215</v>
      </c>
      <c r="E453" s="50">
        <v>40.0</v>
      </c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35">
        <v>5.0024297E7</v>
      </c>
      <c r="B454" s="40" t="s">
        <v>1504</v>
      </c>
      <c r="C454" s="43" t="s">
        <v>1505</v>
      </c>
      <c r="D454" s="45" t="s">
        <v>17</v>
      </c>
      <c r="E454" s="50">
        <v>50.0</v>
      </c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35">
        <v>5.0024298E7</v>
      </c>
      <c r="B455" s="40" t="s">
        <v>1506</v>
      </c>
      <c r="C455" s="43" t="s">
        <v>1508</v>
      </c>
      <c r="D455" s="45" t="s">
        <v>17</v>
      </c>
      <c r="E455" s="50">
        <v>65.0</v>
      </c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35">
        <v>5.0024299E7</v>
      </c>
      <c r="B456" s="40" t="s">
        <v>1510</v>
      </c>
      <c r="C456" s="43" t="s">
        <v>1511</v>
      </c>
      <c r="D456" s="45" t="s">
        <v>17</v>
      </c>
      <c r="E456" s="50">
        <v>80.0</v>
      </c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35">
        <v>5.00243E7</v>
      </c>
      <c r="B457" s="40" t="s">
        <v>1513</v>
      </c>
      <c r="C457" s="43" t="s">
        <v>1514</v>
      </c>
      <c r="D457" s="45" t="s">
        <v>17</v>
      </c>
      <c r="E457" s="50">
        <v>80.0</v>
      </c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35">
        <v>5.0024301E7</v>
      </c>
      <c r="B458" s="40" t="s">
        <v>1516</v>
      </c>
      <c r="C458" s="43" t="s">
        <v>1517</v>
      </c>
      <c r="D458" s="45" t="s">
        <v>17</v>
      </c>
      <c r="E458" s="50">
        <v>94.99999999999999</v>
      </c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35">
        <v>5.0024302E7</v>
      </c>
      <c r="B459" s="40" t="s">
        <v>1519</v>
      </c>
      <c r="C459" s="43" t="s">
        <v>1520</v>
      </c>
      <c r="D459" s="45" t="s">
        <v>17</v>
      </c>
      <c r="E459" s="50">
        <v>109.99999999999999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35">
        <v>5.0039391E7</v>
      </c>
      <c r="B460" s="40" t="s">
        <v>1522</v>
      </c>
      <c r="C460" s="43" t="s">
        <v>1523</v>
      </c>
      <c r="D460" s="45" t="s">
        <v>17</v>
      </c>
      <c r="E460" s="50">
        <v>59.99999999999999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35">
        <v>5.0024303E7</v>
      </c>
      <c r="B461" s="40" t="s">
        <v>350</v>
      </c>
      <c r="C461" s="43" t="s">
        <v>351</v>
      </c>
      <c r="D461" s="45" t="s">
        <v>17</v>
      </c>
      <c r="E461" s="50">
        <v>180.0</v>
      </c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35">
        <v>5.0024304E7</v>
      </c>
      <c r="B462" s="40" t="s">
        <v>355</v>
      </c>
      <c r="C462" s="43" t="s">
        <v>357</v>
      </c>
      <c r="D462" s="45" t="s">
        <v>17</v>
      </c>
      <c r="E462" s="50">
        <v>109.99999999999999</v>
      </c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35">
        <v>5.0024305E7</v>
      </c>
      <c r="B463" s="40" t="s">
        <v>1527</v>
      </c>
      <c r="C463" s="43" t="s">
        <v>360</v>
      </c>
      <c r="D463" s="45" t="s">
        <v>17</v>
      </c>
      <c r="E463" s="50">
        <v>29.999999999999996</v>
      </c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35">
        <v>5.0024306E7</v>
      </c>
      <c r="B464" s="40" t="s">
        <v>380</v>
      </c>
      <c r="C464" s="43" t="s">
        <v>381</v>
      </c>
      <c r="D464" s="45" t="s">
        <v>17</v>
      </c>
      <c r="E464" s="50">
        <v>119.99999999999999</v>
      </c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35">
        <v>5.0024307E7</v>
      </c>
      <c r="B465" s="40" t="s">
        <v>385</v>
      </c>
      <c r="C465" s="43" t="s">
        <v>386</v>
      </c>
      <c r="D465" s="45" t="s">
        <v>17</v>
      </c>
      <c r="E465" s="50">
        <v>200.0</v>
      </c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35">
        <v>5.0024308E7</v>
      </c>
      <c r="B466" s="40" t="s">
        <v>392</v>
      </c>
      <c r="C466" s="43" t="s">
        <v>393</v>
      </c>
      <c r="D466" s="45" t="s">
        <v>17</v>
      </c>
      <c r="E466" s="50">
        <v>260.0</v>
      </c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35">
        <v>5.0024309E7</v>
      </c>
      <c r="B467" s="40" t="s">
        <v>397</v>
      </c>
      <c r="C467" s="43" t="s">
        <v>399</v>
      </c>
      <c r="D467" s="45" t="s">
        <v>17</v>
      </c>
      <c r="E467" s="50">
        <v>150.0</v>
      </c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35">
        <v>5.002431E7</v>
      </c>
      <c r="B468" s="40" t="s">
        <v>404</v>
      </c>
      <c r="C468" s="43" t="s">
        <v>405</v>
      </c>
      <c r="D468" s="45" t="s">
        <v>17</v>
      </c>
      <c r="E468" s="50">
        <v>250.0</v>
      </c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35">
        <v>5.0024311E7</v>
      </c>
      <c r="B469" s="40" t="s">
        <v>409</v>
      </c>
      <c r="C469" s="43" t="s">
        <v>410</v>
      </c>
      <c r="D469" s="45" t="s">
        <v>17</v>
      </c>
      <c r="E469" s="50">
        <v>350.0</v>
      </c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35">
        <v>5.0024317E7</v>
      </c>
      <c r="B470" s="40" t="s">
        <v>457</v>
      </c>
      <c r="C470" s="43" t="s">
        <v>458</v>
      </c>
      <c r="D470" s="45" t="s">
        <v>17</v>
      </c>
      <c r="E470" s="50">
        <v>80.0</v>
      </c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35">
        <v>5.0024318E7</v>
      </c>
      <c r="B471" s="40" t="s">
        <v>462</v>
      </c>
      <c r="C471" s="43" t="s">
        <v>463</v>
      </c>
      <c r="D471" s="45" t="s">
        <v>17</v>
      </c>
      <c r="E471" s="50">
        <v>109.99999999999999</v>
      </c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35">
        <v>5.0024319E7</v>
      </c>
      <c r="B472" s="40" t="s">
        <v>1536</v>
      </c>
      <c r="C472" s="43" t="s">
        <v>467</v>
      </c>
      <c r="D472" s="45" t="s">
        <v>215</v>
      </c>
      <c r="E472" s="50">
        <v>40.0</v>
      </c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35">
        <v>5.002432E7</v>
      </c>
      <c r="B473" s="40" t="s">
        <v>1538</v>
      </c>
      <c r="C473" s="43" t="s">
        <v>472</v>
      </c>
      <c r="D473" s="45" t="s">
        <v>17</v>
      </c>
      <c r="E473" s="50">
        <v>20.0</v>
      </c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35">
        <v>5.0024321E7</v>
      </c>
      <c r="B474" s="40" t="s">
        <v>476</v>
      </c>
      <c r="C474" s="43" t="s">
        <v>477</v>
      </c>
      <c r="D474" s="45" t="s">
        <v>17</v>
      </c>
      <c r="E474" s="50">
        <v>400.0</v>
      </c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35">
        <v>5.0024322E7</v>
      </c>
      <c r="B475" s="40" t="s">
        <v>481</v>
      </c>
      <c r="C475" s="43" t="s">
        <v>477</v>
      </c>
      <c r="D475" s="45" t="s">
        <v>17</v>
      </c>
      <c r="E475" s="50">
        <v>320.0</v>
      </c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35">
        <v>5.0024323E7</v>
      </c>
      <c r="B476" s="40" t="s">
        <v>485</v>
      </c>
      <c r="C476" s="43" t="s">
        <v>477</v>
      </c>
      <c r="D476" s="45" t="s">
        <v>17</v>
      </c>
      <c r="E476" s="50">
        <v>239.99999999999997</v>
      </c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35">
        <v>5.0024324E7</v>
      </c>
      <c r="B477" s="40" t="s">
        <v>490</v>
      </c>
      <c r="C477" s="43" t="s">
        <v>477</v>
      </c>
      <c r="D477" s="45" t="s">
        <v>17</v>
      </c>
      <c r="E477" s="50">
        <v>160.0</v>
      </c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35">
        <v>5.0024325E7</v>
      </c>
      <c r="B478" s="40" t="s">
        <v>495</v>
      </c>
      <c r="C478" s="43" t="s">
        <v>477</v>
      </c>
      <c r="D478" s="45" t="s">
        <v>17</v>
      </c>
      <c r="E478" s="50">
        <v>90.0</v>
      </c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35">
        <v>5.0024326E7</v>
      </c>
      <c r="B479" s="40" t="s">
        <v>501</v>
      </c>
      <c r="C479" s="43" t="s">
        <v>477</v>
      </c>
      <c r="D479" s="45" t="s">
        <v>17</v>
      </c>
      <c r="E479" s="50">
        <v>59.99999999999999</v>
      </c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35">
        <v>5.0024327E7</v>
      </c>
      <c r="B480" s="40" t="s">
        <v>504</v>
      </c>
      <c r="C480" s="43" t="s">
        <v>1545</v>
      </c>
      <c r="D480" s="45" t="s">
        <v>17</v>
      </c>
      <c r="E480" s="50">
        <v>5.0</v>
      </c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35">
        <v>5.0024328E7</v>
      </c>
      <c r="B481" s="40" t="s">
        <v>510</v>
      </c>
      <c r="C481" s="43" t="s">
        <v>1547</v>
      </c>
      <c r="D481" s="45" t="s">
        <v>17</v>
      </c>
      <c r="E481" s="50">
        <v>10.0</v>
      </c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35">
        <v>5.0024329E7</v>
      </c>
      <c r="B482" s="40" t="s">
        <v>514</v>
      </c>
      <c r="C482" s="43" t="s">
        <v>1548</v>
      </c>
      <c r="D482" s="45" t="s">
        <v>17</v>
      </c>
      <c r="E482" s="50">
        <v>10.0</v>
      </c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35">
        <v>5.0023651E7</v>
      </c>
      <c r="B483" s="40" t="s">
        <v>1550</v>
      </c>
      <c r="C483" s="43" t="s">
        <v>1551</v>
      </c>
      <c r="D483" s="45" t="s">
        <v>306</v>
      </c>
      <c r="E483" s="50">
        <v>100.79569892473117</v>
      </c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35">
        <v>5.0023652E7</v>
      </c>
      <c r="B484" s="40" t="s">
        <v>1553</v>
      </c>
      <c r="C484" s="43" t="s">
        <v>1554</v>
      </c>
      <c r="D484" s="45" t="s">
        <v>306</v>
      </c>
      <c r="E484" s="50">
        <v>104.0</v>
      </c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35">
        <v>5.0023653E7</v>
      </c>
      <c r="B485" s="40" t="s">
        <v>1556</v>
      </c>
      <c r="C485" s="43" t="s">
        <v>1557</v>
      </c>
      <c r="D485" s="45" t="s">
        <v>306</v>
      </c>
      <c r="E485" s="50">
        <v>96.6021505376344</v>
      </c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35">
        <v>5.0023654E7</v>
      </c>
      <c r="B486" s="40" t="s">
        <v>1558</v>
      </c>
      <c r="C486" s="43" t="s">
        <v>1559</v>
      </c>
      <c r="D486" s="45" t="s">
        <v>330</v>
      </c>
      <c r="E486" s="50">
        <v>9.494623655913978</v>
      </c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35">
        <v>5.0023655E7</v>
      </c>
      <c r="B487" s="40" t="s">
        <v>1561</v>
      </c>
      <c r="C487" s="43" t="s">
        <v>1562</v>
      </c>
      <c r="D487" s="45" t="s">
        <v>1563</v>
      </c>
      <c r="E487" s="50">
        <v>1.6021505376344085</v>
      </c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35">
        <v>5.0023656E7</v>
      </c>
      <c r="B488" s="40" t="s">
        <v>1565</v>
      </c>
      <c r="C488" s="43" t="s">
        <v>1566</v>
      </c>
      <c r="D488" s="45" t="s">
        <v>330</v>
      </c>
      <c r="E488" s="50">
        <v>4.602150537634409</v>
      </c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35">
        <v>5.0023657E7</v>
      </c>
      <c r="B489" s="40" t="s">
        <v>1569</v>
      </c>
      <c r="C489" s="43" t="s">
        <v>1570</v>
      </c>
      <c r="D489" s="45" t="s">
        <v>330</v>
      </c>
      <c r="E489" s="50">
        <v>8.999999999999998</v>
      </c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35">
        <v>5.0023658E7</v>
      </c>
      <c r="B490" s="40" t="s">
        <v>1573</v>
      </c>
      <c r="C490" s="43" t="s">
        <v>1574</v>
      </c>
      <c r="D490" s="45" t="s">
        <v>330</v>
      </c>
      <c r="E490" s="50">
        <v>14.698924731182794</v>
      </c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35">
        <v>5.0023659E7</v>
      </c>
      <c r="B491" s="40" t="s">
        <v>1578</v>
      </c>
      <c r="C491" s="43" t="s">
        <v>1579</v>
      </c>
      <c r="D491" s="45" t="s">
        <v>330</v>
      </c>
      <c r="E491" s="50">
        <v>12.602150537634408</v>
      </c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35">
        <v>5.002366E7</v>
      </c>
      <c r="B492" s="40" t="s">
        <v>1582</v>
      </c>
      <c r="C492" s="43" t="s">
        <v>1583</v>
      </c>
      <c r="D492" s="45" t="s">
        <v>330</v>
      </c>
      <c r="E492" s="50">
        <v>26.301075268817204</v>
      </c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35">
        <v>5.0023661E7</v>
      </c>
      <c r="B493" s="40" t="s">
        <v>1586</v>
      </c>
      <c r="C493" s="43" t="s">
        <v>1587</v>
      </c>
      <c r="D493" s="45" t="s">
        <v>330</v>
      </c>
      <c r="E493" s="50">
        <v>63.0</v>
      </c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35">
        <v>5.0023662E7</v>
      </c>
      <c r="B494" s="40" t="s">
        <v>1589</v>
      </c>
      <c r="C494" s="43" t="s">
        <v>1590</v>
      </c>
      <c r="D494" s="45" t="s">
        <v>330</v>
      </c>
      <c r="E494" s="50">
        <v>31.494623655913976</v>
      </c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35">
        <v>5.0023663E7</v>
      </c>
      <c r="B495" s="40" t="s">
        <v>1592</v>
      </c>
      <c r="C495" s="43" t="s">
        <v>1593</v>
      </c>
      <c r="D495" s="45" t="s">
        <v>330</v>
      </c>
      <c r="E495" s="50">
        <v>52.494623655913976</v>
      </c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35">
        <v>5.0023664E7</v>
      </c>
      <c r="B496" s="40" t="s">
        <v>1595</v>
      </c>
      <c r="C496" s="43" t="s">
        <v>1596</v>
      </c>
      <c r="D496" s="45" t="s">
        <v>330</v>
      </c>
      <c r="E496" s="50">
        <v>33.60215053763441</v>
      </c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35">
        <v>5.0023665E7</v>
      </c>
      <c r="B497" s="40" t="s">
        <v>1598</v>
      </c>
      <c r="C497" s="43" t="s">
        <v>1600</v>
      </c>
      <c r="D497" s="45" t="s">
        <v>330</v>
      </c>
      <c r="E497" s="50">
        <v>52.494623655913976</v>
      </c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35">
        <v>5.0023666E7</v>
      </c>
      <c r="B498" s="40" t="s">
        <v>1601</v>
      </c>
      <c r="C498" s="43" t="s">
        <v>1603</v>
      </c>
      <c r="D498" s="45" t="s">
        <v>330</v>
      </c>
      <c r="E498" s="50">
        <v>136.49462365591395</v>
      </c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35">
        <v>5.0023667E7</v>
      </c>
      <c r="B499" s="40" t="s">
        <v>1605</v>
      </c>
      <c r="C499" s="43" t="s">
        <v>1606</v>
      </c>
      <c r="D499" s="45" t="s">
        <v>330</v>
      </c>
      <c r="E499" s="50">
        <v>31.494623655913976</v>
      </c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35">
        <v>5.0023668E7</v>
      </c>
      <c r="B500" s="40" t="s">
        <v>1607</v>
      </c>
      <c r="C500" s="43" t="s">
        <v>1608</v>
      </c>
      <c r="D500" s="45" t="s">
        <v>330</v>
      </c>
      <c r="E500" s="50">
        <v>18.90322580645161</v>
      </c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35">
        <v>5.0023669E7</v>
      </c>
      <c r="B501" s="40" t="s">
        <v>1610</v>
      </c>
      <c r="C501" s="43" t="s">
        <v>1612</v>
      </c>
      <c r="D501" s="45" t="s">
        <v>330</v>
      </c>
      <c r="E501" s="50">
        <v>13.698924731182796</v>
      </c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35">
        <v>5.002367E7</v>
      </c>
      <c r="B502" s="40" t="s">
        <v>1614</v>
      </c>
      <c r="C502" s="43" t="s">
        <v>1615</v>
      </c>
      <c r="D502" s="45" t="s">
        <v>330</v>
      </c>
      <c r="E502" s="50">
        <v>37.79569892473118</v>
      </c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35">
        <v>5.0023671E7</v>
      </c>
      <c r="B503" s="40" t="s">
        <v>1617</v>
      </c>
      <c r="C503" s="43" t="s">
        <v>1618</v>
      </c>
      <c r="D503" s="45" t="s">
        <v>330</v>
      </c>
      <c r="E503" s="50">
        <v>8.698924731182796</v>
      </c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35">
        <v>5.0023672E7</v>
      </c>
      <c r="B504" s="40" t="s">
        <v>1620</v>
      </c>
      <c r="C504" s="43" t="s">
        <v>1621</v>
      </c>
      <c r="D504" s="45" t="s">
        <v>330</v>
      </c>
      <c r="E504" s="50">
        <v>15.698924731182794</v>
      </c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35">
        <v>5.0023673E7</v>
      </c>
      <c r="B505" s="40" t="s">
        <v>1623</v>
      </c>
      <c r="C505" s="43" t="s">
        <v>1624</v>
      </c>
      <c r="D505" s="45" t="s">
        <v>330</v>
      </c>
      <c r="E505" s="50">
        <v>16.79569892473118</v>
      </c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35">
        <v>5.0023674E7</v>
      </c>
      <c r="B506" s="40" t="s">
        <v>1626</v>
      </c>
      <c r="C506" s="43" t="s">
        <v>1627</v>
      </c>
      <c r="D506" s="45" t="s">
        <v>330</v>
      </c>
      <c r="E506" s="50">
        <v>31.494623655913976</v>
      </c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35">
        <v>5.0023675E7</v>
      </c>
      <c r="B507" s="40" t="s">
        <v>1629</v>
      </c>
      <c r="C507" s="43" t="s">
        <v>1630</v>
      </c>
      <c r="D507" s="45" t="s">
        <v>330</v>
      </c>
      <c r="E507" s="50">
        <v>46.204301075268816</v>
      </c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35">
        <v>5.0023676E7</v>
      </c>
      <c r="B508" s="40" t="s">
        <v>1632</v>
      </c>
      <c r="C508" s="43" t="s">
        <v>1633</v>
      </c>
      <c r="D508" s="45" t="s">
        <v>17</v>
      </c>
      <c r="E508" s="50">
        <v>917.6989247311828</v>
      </c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35">
        <v>5.0023677E7</v>
      </c>
      <c r="B509" s="40" t="s">
        <v>1635</v>
      </c>
      <c r="C509" s="43" t="s">
        <v>1637</v>
      </c>
      <c r="D509" s="45" t="s">
        <v>17</v>
      </c>
      <c r="E509" s="50">
        <v>662.6021505376344</v>
      </c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35">
        <v>5.0023678E7</v>
      </c>
      <c r="B510" s="40" t="s">
        <v>1639</v>
      </c>
      <c r="C510" s="43" t="s">
        <v>1640</v>
      </c>
      <c r="D510" s="45" t="s">
        <v>17</v>
      </c>
      <c r="E510" s="50">
        <v>129.69892473118279</v>
      </c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35">
        <v>5.0023679E7</v>
      </c>
      <c r="B511" s="40" t="s">
        <v>1643</v>
      </c>
      <c r="C511" s="43" t="s">
        <v>1644</v>
      </c>
      <c r="D511" s="45" t="s">
        <v>17</v>
      </c>
      <c r="E511" s="50">
        <v>1738.795698924731</v>
      </c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35">
        <v>5.0023688E7</v>
      </c>
      <c r="B512" s="40" t="s">
        <v>1646</v>
      </c>
      <c r="C512" s="43" t="s">
        <v>1647</v>
      </c>
      <c r="D512" s="45" t="s">
        <v>17</v>
      </c>
      <c r="E512" s="50">
        <v>87.2043010752688</v>
      </c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35">
        <v>5.0023689E7</v>
      </c>
      <c r="B513" s="40" t="s">
        <v>1649</v>
      </c>
      <c r="C513" s="43" t="s">
        <v>1650</v>
      </c>
      <c r="D513" s="45" t="s">
        <v>17</v>
      </c>
      <c r="E513" s="50">
        <v>83.0</v>
      </c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35">
        <v>5.002369E7</v>
      </c>
      <c r="B514" s="40" t="s">
        <v>1652</v>
      </c>
      <c r="C514" s="43" t="s">
        <v>1653</v>
      </c>
      <c r="D514" s="45" t="s">
        <v>17</v>
      </c>
      <c r="E514" s="50">
        <v>803.3010752688173</v>
      </c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35">
        <v>5.0023691E7</v>
      </c>
      <c r="B515" s="40" t="s">
        <v>1655</v>
      </c>
      <c r="C515" s="43" t="s">
        <v>1656</v>
      </c>
      <c r="D515" s="45" t="s">
        <v>17</v>
      </c>
      <c r="E515" s="50">
        <v>867.3010752688172</v>
      </c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35">
        <v>5.0023692E7</v>
      </c>
      <c r="B516" s="40" t="s">
        <v>1658</v>
      </c>
      <c r="C516" s="43" t="s">
        <v>1659</v>
      </c>
      <c r="D516" s="45" t="s">
        <v>17</v>
      </c>
      <c r="E516" s="50">
        <v>834.7956989247311</v>
      </c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35">
        <v>5.002368E7</v>
      </c>
      <c r="B517" s="40" t="s">
        <v>1661</v>
      </c>
      <c r="C517" s="43" t="s">
        <v>1662</v>
      </c>
      <c r="D517" s="45" t="s">
        <v>17</v>
      </c>
      <c r="E517" s="50">
        <v>2575.6989247311826</v>
      </c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35">
        <v>5.0023681E7</v>
      </c>
      <c r="B518" s="40" t="s">
        <v>1664</v>
      </c>
      <c r="C518" s="43" t="s">
        <v>1665</v>
      </c>
      <c r="D518" s="45" t="s">
        <v>17</v>
      </c>
      <c r="E518" s="50">
        <v>2642.9032258064517</v>
      </c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35">
        <v>5.0023682E7</v>
      </c>
      <c r="B519" s="40" t="s">
        <v>1667</v>
      </c>
      <c r="C519" s="43" t="s">
        <v>1668</v>
      </c>
      <c r="D519" s="45" t="s">
        <v>17</v>
      </c>
      <c r="E519" s="50">
        <v>2627.096774193548</v>
      </c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35">
        <v>5.0023683E7</v>
      </c>
      <c r="B520" s="40" t="s">
        <v>1670</v>
      </c>
      <c r="C520" s="43" t="s">
        <v>1671</v>
      </c>
      <c r="D520" s="45" t="s">
        <v>17</v>
      </c>
      <c r="E520" s="50">
        <v>3069.2043010752686</v>
      </c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35">
        <v>5.0023684E7</v>
      </c>
      <c r="B521" s="40" t="s">
        <v>1672</v>
      </c>
      <c r="C521" s="43" t="s">
        <v>1673</v>
      </c>
      <c r="D521" s="45" t="s">
        <v>17</v>
      </c>
      <c r="E521" s="50">
        <v>1784.9999999999998</v>
      </c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35">
        <v>5.0023685E7</v>
      </c>
      <c r="B522" s="40" t="s">
        <v>1675</v>
      </c>
      <c r="C522" s="43" t="s">
        <v>1676</v>
      </c>
      <c r="D522" s="45" t="s">
        <v>17</v>
      </c>
      <c r="E522" s="50">
        <v>1240.0967741935483</v>
      </c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35">
        <v>5.0023686E7</v>
      </c>
      <c r="B523" s="40" t="s">
        <v>1678</v>
      </c>
      <c r="C523" s="43" t="s">
        <v>1679</v>
      </c>
      <c r="D523" s="45" t="s">
        <v>17</v>
      </c>
      <c r="E523" s="50">
        <v>383.3010752688172</v>
      </c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35">
        <v>5.0023687E7</v>
      </c>
      <c r="B524" s="40" t="s">
        <v>1681</v>
      </c>
      <c r="C524" s="43" t="s">
        <v>1683</v>
      </c>
      <c r="D524" s="45" t="s">
        <v>17</v>
      </c>
      <c r="E524" s="50">
        <v>272.99999999999994</v>
      </c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35">
        <v>5.0023693E7</v>
      </c>
      <c r="B525" s="40" t="s">
        <v>1684</v>
      </c>
      <c r="C525" s="43" t="s">
        <v>1685</v>
      </c>
      <c r="D525" s="45" t="s">
        <v>17</v>
      </c>
      <c r="E525" s="50">
        <v>64.6021505376344</v>
      </c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35">
        <v>5.0023694E7</v>
      </c>
      <c r="B526" s="40" t="s">
        <v>1687</v>
      </c>
      <c r="C526" s="43" t="s">
        <v>1688</v>
      </c>
      <c r="D526" s="45" t="s">
        <v>330</v>
      </c>
      <c r="E526" s="50">
        <v>12.301075268817202</v>
      </c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35">
        <v>5.0023695E7</v>
      </c>
      <c r="B527" s="40" t="s">
        <v>1690</v>
      </c>
      <c r="C527" s="43" t="s">
        <v>1691</v>
      </c>
      <c r="D527" s="45" t="s">
        <v>202</v>
      </c>
      <c r="E527" s="50">
        <v>6.602150537634408</v>
      </c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35">
        <v>5.0023696E7</v>
      </c>
      <c r="B528" s="40" t="s">
        <v>1692</v>
      </c>
      <c r="C528" s="43" t="s">
        <v>1693</v>
      </c>
      <c r="D528" s="45" t="s">
        <v>17</v>
      </c>
      <c r="E528" s="50">
        <v>1.9032258064516128</v>
      </c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35">
        <v>5.0023697E7</v>
      </c>
      <c r="B529" s="40" t="s">
        <v>1695</v>
      </c>
      <c r="C529" s="43" t="s">
        <v>1696</v>
      </c>
      <c r="D529" s="45" t="s">
        <v>17</v>
      </c>
      <c r="E529" s="50">
        <v>5.903225806451613</v>
      </c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35">
        <v>5.0023698E7</v>
      </c>
      <c r="B530" s="40" t="s">
        <v>1697</v>
      </c>
      <c r="C530" s="43" t="s">
        <v>1698</v>
      </c>
      <c r="D530" s="45" t="s">
        <v>1563</v>
      </c>
      <c r="E530" s="50">
        <v>4.795698924731182</v>
      </c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35">
        <v>5.0023699E7</v>
      </c>
      <c r="B531" s="40" t="s">
        <v>1700</v>
      </c>
      <c r="C531" s="43" t="s">
        <v>1701</v>
      </c>
      <c r="D531" s="45" t="s">
        <v>17</v>
      </c>
      <c r="E531" s="50">
        <v>18.90322580645161</v>
      </c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35">
        <v>5.00237E7</v>
      </c>
      <c r="B532" s="40" t="s">
        <v>1702</v>
      </c>
      <c r="C532" s="43" t="s">
        <v>1704</v>
      </c>
      <c r="D532" s="45" t="s">
        <v>330</v>
      </c>
      <c r="E532" s="50">
        <v>6.999999999999999</v>
      </c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35">
        <v>5.0023701E7</v>
      </c>
      <c r="B533" s="40" t="s">
        <v>1706</v>
      </c>
      <c r="C533" s="43" t="s">
        <v>1707</v>
      </c>
      <c r="D533" s="45" t="s">
        <v>1563</v>
      </c>
      <c r="E533" s="50">
        <v>6.602150537634408</v>
      </c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35">
        <v>5.0023702E7</v>
      </c>
      <c r="B534" s="40" t="s">
        <v>1709</v>
      </c>
      <c r="C534" s="43" t="s">
        <v>1710</v>
      </c>
      <c r="D534" s="45" t="s">
        <v>17</v>
      </c>
      <c r="E534" s="50">
        <v>5.0</v>
      </c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35">
        <v>5.0023703E7</v>
      </c>
      <c r="B535" s="40" t="s">
        <v>1712</v>
      </c>
      <c r="C535" s="43" t="s">
        <v>1713</v>
      </c>
      <c r="D535" s="45" t="s">
        <v>17</v>
      </c>
      <c r="E535" s="50">
        <v>10.795698924731182</v>
      </c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35">
        <v>5.0023704E7</v>
      </c>
      <c r="B536" s="40" t="s">
        <v>1715</v>
      </c>
      <c r="C536" s="43" t="s">
        <v>1716</v>
      </c>
      <c r="D536" s="45" t="s">
        <v>17</v>
      </c>
      <c r="E536" s="50">
        <v>20.698924731182796</v>
      </c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35">
        <v>5.0023705E7</v>
      </c>
      <c r="B537" s="40" t="s">
        <v>1718</v>
      </c>
      <c r="C537" s="43" t="s">
        <v>1719</v>
      </c>
      <c r="D537" s="45" t="s">
        <v>17</v>
      </c>
      <c r="E537" s="50">
        <v>17.795698924731184</v>
      </c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35">
        <v>5.0023706E7</v>
      </c>
      <c r="B538" s="40" t="s">
        <v>1721</v>
      </c>
      <c r="C538" s="43" t="s">
        <v>1722</v>
      </c>
      <c r="D538" s="45" t="s">
        <v>17</v>
      </c>
      <c r="E538" s="50">
        <v>34.494623655913976</v>
      </c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35">
        <v>5.0023707E7</v>
      </c>
      <c r="B539" s="40" t="s">
        <v>1724</v>
      </c>
      <c r="C539" s="43" t="s">
        <v>1725</v>
      </c>
      <c r="D539" s="45" t="s">
        <v>17</v>
      </c>
      <c r="E539" s="50">
        <v>16.79569892473118</v>
      </c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35">
        <v>5.0023708E7</v>
      </c>
      <c r="B540" s="40" t="s">
        <v>1727</v>
      </c>
      <c r="C540" s="43" t="s">
        <v>1728</v>
      </c>
      <c r="D540" s="45" t="s">
        <v>17</v>
      </c>
      <c r="E540" s="50">
        <v>29.999999999999996</v>
      </c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35">
        <v>5.0023709E7</v>
      </c>
      <c r="B541" s="40" t="s">
        <v>1730</v>
      </c>
      <c r="C541" s="43" t="s">
        <v>1731</v>
      </c>
      <c r="D541" s="45" t="s">
        <v>17</v>
      </c>
      <c r="E541" s="50">
        <v>23.903225806451612</v>
      </c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35">
        <v>5.002371E7</v>
      </c>
      <c r="B542" s="40" t="s">
        <v>1733</v>
      </c>
      <c r="C542" s="43" t="s">
        <v>1734</v>
      </c>
      <c r="D542" s="45" t="s">
        <v>17</v>
      </c>
      <c r="E542" s="50">
        <v>43.69892473118279</v>
      </c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35">
        <v>5.0023711E7</v>
      </c>
      <c r="B543" s="40" t="s">
        <v>1735</v>
      </c>
      <c r="C543" s="43" t="s">
        <v>1736</v>
      </c>
      <c r="D543" s="45" t="s">
        <v>17</v>
      </c>
      <c r="E543" s="50">
        <v>36.79569892473118</v>
      </c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35">
        <v>5.0023712E7</v>
      </c>
      <c r="B544" s="40" t="s">
        <v>1738</v>
      </c>
      <c r="C544" s="43" t="s">
        <v>1739</v>
      </c>
      <c r="D544" s="45" t="s">
        <v>306</v>
      </c>
      <c r="E544" s="50">
        <v>144.9032258064516</v>
      </c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35">
        <v>5.0023713E7</v>
      </c>
      <c r="B545" s="40" t="s">
        <v>1741</v>
      </c>
      <c r="C545" s="43" t="s">
        <v>1742</v>
      </c>
      <c r="D545" s="45" t="s">
        <v>17</v>
      </c>
      <c r="E545" s="50">
        <v>29.39784946236559</v>
      </c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35">
        <v>5.0023714E7</v>
      </c>
      <c r="B546" s="40" t="s">
        <v>1744</v>
      </c>
      <c r="C546" s="43" t="s">
        <v>1745</v>
      </c>
      <c r="D546" s="45" t="s">
        <v>17</v>
      </c>
      <c r="E546" s="50">
        <v>194.3010752688172</v>
      </c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35">
        <v>5.0023715E7</v>
      </c>
      <c r="B547" s="40" t="s">
        <v>1747</v>
      </c>
      <c r="C547" s="43" t="s">
        <v>1748</v>
      </c>
      <c r="D547" s="45" t="s">
        <v>17</v>
      </c>
      <c r="E547" s="50">
        <v>115.49462365591397</v>
      </c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35">
        <v>5.0023716E7</v>
      </c>
      <c r="B548" s="40" t="s">
        <v>1750</v>
      </c>
      <c r="C548" s="43" t="s">
        <v>1751</v>
      </c>
      <c r="D548" s="45" t="s">
        <v>17</v>
      </c>
      <c r="E548" s="50">
        <v>32.0</v>
      </c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35">
        <v>5.0023717E7</v>
      </c>
      <c r="B549" s="40" t="s">
        <v>1753</v>
      </c>
      <c r="C549" s="43" t="s">
        <v>1754</v>
      </c>
      <c r="D549" s="45" t="s">
        <v>17</v>
      </c>
      <c r="E549" s="50">
        <v>41.49462365591398</v>
      </c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35">
        <v>5.0023718E7</v>
      </c>
      <c r="B550" s="40" t="s">
        <v>1756</v>
      </c>
      <c r="C550" s="43" t="s">
        <v>1758</v>
      </c>
      <c r="D550" s="45" t="s">
        <v>17</v>
      </c>
      <c r="E550" s="50">
        <v>60.60215053763441</v>
      </c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35">
        <v>5.0023719E7</v>
      </c>
      <c r="B551" s="40" t="s">
        <v>1760</v>
      </c>
      <c r="C551" s="43" t="s">
        <v>1762</v>
      </c>
      <c r="D551" s="45" t="s">
        <v>17</v>
      </c>
      <c r="E551" s="50">
        <v>8.602150537634408</v>
      </c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35">
        <v>5.002372E7</v>
      </c>
      <c r="B552" s="40" t="s">
        <v>1764</v>
      </c>
      <c r="C552" s="43" t="s">
        <v>1765</v>
      </c>
      <c r="D552" s="45" t="s">
        <v>17</v>
      </c>
      <c r="E552" s="50">
        <v>5.795698924731182</v>
      </c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35">
        <v>5.0023721E7</v>
      </c>
      <c r="B553" s="40" t="s">
        <v>1768</v>
      </c>
      <c r="C553" s="43" t="s">
        <v>1769</v>
      </c>
      <c r="D553" s="45" t="s">
        <v>17</v>
      </c>
      <c r="E553" s="50">
        <v>6.096774193548387</v>
      </c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35">
        <v>5.0023722E7</v>
      </c>
      <c r="B554" s="40" t="s">
        <v>1771</v>
      </c>
      <c r="C554" s="43" t="s">
        <v>1772</v>
      </c>
      <c r="D554" s="45" t="s">
        <v>17</v>
      </c>
      <c r="E554" s="50">
        <v>31.494623655913976</v>
      </c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35">
        <v>5.0023723E7</v>
      </c>
      <c r="B555" s="40" t="s">
        <v>1774</v>
      </c>
      <c r="C555" s="43" t="s">
        <v>1775</v>
      </c>
      <c r="D555" s="45" t="s">
        <v>17</v>
      </c>
      <c r="E555" s="50">
        <v>2.0</v>
      </c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35">
        <v>5.0023724E7</v>
      </c>
      <c r="B556" s="40" t="s">
        <v>1777</v>
      </c>
      <c r="C556" s="43" t="s">
        <v>1778</v>
      </c>
      <c r="D556" s="45" t="s">
        <v>17</v>
      </c>
      <c r="E556" s="50">
        <v>7.096774193548386</v>
      </c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35">
        <v>5.0023725E7</v>
      </c>
      <c r="B557" s="40" t="s">
        <v>1780</v>
      </c>
      <c r="C557" s="43" t="s">
        <v>1781</v>
      </c>
      <c r="D557" s="45" t="s">
        <v>202</v>
      </c>
      <c r="E557" s="50">
        <v>8.795698924731182</v>
      </c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35">
        <v>5.0023726E7</v>
      </c>
      <c r="B558" s="40" t="s">
        <v>1783</v>
      </c>
      <c r="C558" s="43" t="s">
        <v>1784</v>
      </c>
      <c r="D558" s="45" t="s">
        <v>202</v>
      </c>
      <c r="E558" s="50">
        <v>17.0</v>
      </c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35">
        <v>5.0023727E7</v>
      </c>
      <c r="B559" s="40" t="s">
        <v>1786</v>
      </c>
      <c r="C559" s="43" t="s">
        <v>1787</v>
      </c>
      <c r="D559" s="45" t="s">
        <v>582</v>
      </c>
      <c r="E559" s="50">
        <v>7.397849462365591</v>
      </c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35">
        <v>5.0023728E7</v>
      </c>
      <c r="B560" s="40" t="s">
        <v>1789</v>
      </c>
      <c r="C560" s="43" t="s">
        <v>1790</v>
      </c>
      <c r="D560" s="45" t="s">
        <v>17</v>
      </c>
      <c r="E560" s="50">
        <v>42.0</v>
      </c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35">
        <v>5.0023729E7</v>
      </c>
      <c r="B561" s="40" t="s">
        <v>1792</v>
      </c>
      <c r="C561" s="43" t="s">
        <v>1793</v>
      </c>
      <c r="D561" s="45" t="s">
        <v>17</v>
      </c>
      <c r="E561" s="50">
        <v>21.0</v>
      </c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35">
        <v>5.002373E7</v>
      </c>
      <c r="B562" s="40" t="s">
        <v>1795</v>
      </c>
      <c r="C562" s="43" t="s">
        <v>1797</v>
      </c>
      <c r="D562" s="45" t="s">
        <v>17</v>
      </c>
      <c r="E562" s="50">
        <v>175.3978494623656</v>
      </c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35">
        <v>5.0023731E7</v>
      </c>
      <c r="B563" s="40" t="s">
        <v>1798</v>
      </c>
      <c r="C563" s="43" t="s">
        <v>1799</v>
      </c>
      <c r="D563" s="45" t="s">
        <v>17</v>
      </c>
      <c r="E563" s="50">
        <v>257.30107526881716</v>
      </c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35">
        <v>5.0023732E7</v>
      </c>
      <c r="B564" s="40" t="s">
        <v>1801</v>
      </c>
      <c r="C564" s="43" t="s">
        <v>1802</v>
      </c>
      <c r="D564" s="45" t="s">
        <v>17</v>
      </c>
      <c r="E564" s="50">
        <v>172.09677419354838</v>
      </c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35">
        <v>5.0023733E7</v>
      </c>
      <c r="B565" s="40" t="s">
        <v>1803</v>
      </c>
      <c r="C565" s="43" t="s">
        <v>1804</v>
      </c>
      <c r="D565" s="45" t="s">
        <v>306</v>
      </c>
      <c r="E565" s="50">
        <v>22.602150537634408</v>
      </c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35">
        <v>5.0023734E7</v>
      </c>
      <c r="B566" s="40" t="s">
        <v>1806</v>
      </c>
      <c r="C566" s="43" t="s">
        <v>1807</v>
      </c>
      <c r="D566" s="45" t="s">
        <v>202</v>
      </c>
      <c r="E566" s="50">
        <v>1.9032258064516128</v>
      </c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35">
        <v>5.0023735E7</v>
      </c>
      <c r="B567" s="40" t="s">
        <v>1808</v>
      </c>
      <c r="C567" s="43" t="s">
        <v>1809</v>
      </c>
      <c r="D567" s="45" t="s">
        <v>202</v>
      </c>
      <c r="E567" s="50">
        <v>0.16129032258064516</v>
      </c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35">
        <v>5.0023736E7</v>
      </c>
      <c r="B568" s="40" t="s">
        <v>1811</v>
      </c>
      <c r="C568" s="43" t="s">
        <v>1812</v>
      </c>
      <c r="D568" s="45" t="s">
        <v>202</v>
      </c>
      <c r="E568" s="50">
        <v>0.16129032258064516</v>
      </c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35">
        <v>5.0023737E7</v>
      </c>
      <c r="B569" s="40" t="s">
        <v>586</v>
      </c>
      <c r="C569" s="43" t="s">
        <v>1814</v>
      </c>
      <c r="D569" s="45" t="s">
        <v>202</v>
      </c>
      <c r="E569" s="50">
        <v>0.9462365591397849</v>
      </c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35">
        <v>5.0023738E7</v>
      </c>
      <c r="B570" s="40" t="s">
        <v>1816</v>
      </c>
      <c r="C570" s="43" t="s">
        <v>1817</v>
      </c>
      <c r="D570" s="45" t="s">
        <v>202</v>
      </c>
      <c r="E570" s="50">
        <v>1.4946236559139783</v>
      </c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35">
        <v>5.0023739E7</v>
      </c>
      <c r="B571" s="40" t="s">
        <v>1819</v>
      </c>
      <c r="C571" s="43" t="s">
        <v>1820</v>
      </c>
      <c r="D571" s="45" t="s">
        <v>202</v>
      </c>
      <c r="E571" s="50">
        <v>0.9569892473118279</v>
      </c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35">
        <v>5.002374E7</v>
      </c>
      <c r="B572" s="40" t="s">
        <v>1822</v>
      </c>
      <c r="C572" s="43" t="s">
        <v>1823</v>
      </c>
      <c r="D572" s="45" t="s">
        <v>202</v>
      </c>
      <c r="E572" s="50">
        <v>1.1720430107526882</v>
      </c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35">
        <v>5.0023741E7</v>
      </c>
      <c r="B573" s="40" t="s">
        <v>1825</v>
      </c>
      <c r="C573" s="43" t="s">
        <v>1826</v>
      </c>
      <c r="D573" s="45" t="s">
        <v>202</v>
      </c>
      <c r="E573" s="50">
        <v>5.204301075268817</v>
      </c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35">
        <v>5.0023742E7</v>
      </c>
      <c r="B574" s="40" t="s">
        <v>1828</v>
      </c>
      <c r="C574" s="43" t="s">
        <v>1829</v>
      </c>
      <c r="D574" s="45" t="s">
        <v>202</v>
      </c>
      <c r="E574" s="50">
        <v>11.204301075268816</v>
      </c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35">
        <v>5.0023743E7</v>
      </c>
      <c r="B575" s="40" t="s">
        <v>1831</v>
      </c>
      <c r="C575" s="43" t="s">
        <v>1832</v>
      </c>
      <c r="D575" s="45" t="s">
        <v>202</v>
      </c>
      <c r="E575" s="50">
        <v>0.48387096774193544</v>
      </c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35">
        <v>5.0023744E7</v>
      </c>
      <c r="B576" s="40" t="s">
        <v>1835</v>
      </c>
      <c r="C576" s="43" t="s">
        <v>1836</v>
      </c>
      <c r="D576" s="45" t="s">
        <v>202</v>
      </c>
      <c r="E576" s="50">
        <v>0.5268817204301075</v>
      </c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35">
        <v>5.0023745E7</v>
      </c>
      <c r="B577" s="40" t="s">
        <v>1838</v>
      </c>
      <c r="C577" s="43" t="s">
        <v>1839</v>
      </c>
      <c r="D577" s="45" t="s">
        <v>202</v>
      </c>
      <c r="E577" s="50">
        <v>12.0</v>
      </c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35">
        <v>5.0023746E7</v>
      </c>
      <c r="B578" s="40" t="s">
        <v>1841</v>
      </c>
      <c r="C578" s="43" t="s">
        <v>1842</v>
      </c>
      <c r="D578" s="45" t="s">
        <v>202</v>
      </c>
      <c r="E578" s="50">
        <v>9.204301075268818</v>
      </c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35">
        <v>5.0023747E7</v>
      </c>
      <c r="B579" s="40" t="s">
        <v>1844</v>
      </c>
      <c r="C579" s="43" t="s">
        <v>1845</v>
      </c>
      <c r="D579" s="45" t="s">
        <v>202</v>
      </c>
      <c r="E579" s="50">
        <v>15.795698924731182</v>
      </c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35">
        <v>5.0023748E7</v>
      </c>
      <c r="B580" s="40" t="s">
        <v>1847</v>
      </c>
      <c r="C580" s="43" t="s">
        <v>1848</v>
      </c>
      <c r="D580" s="45" t="s">
        <v>202</v>
      </c>
      <c r="E580" s="50">
        <v>12.494623655913976</v>
      </c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35">
        <v>5.0023749E7</v>
      </c>
      <c r="B581" s="40" t="s">
        <v>1850</v>
      </c>
      <c r="C581" s="43" t="s">
        <v>1851</v>
      </c>
      <c r="D581" s="45" t="s">
        <v>202</v>
      </c>
      <c r="E581" s="50">
        <v>21.698924731182796</v>
      </c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35">
        <v>5.002375E7</v>
      </c>
      <c r="B582" s="40" t="s">
        <v>1852</v>
      </c>
      <c r="C582" s="43" t="s">
        <v>1853</v>
      </c>
      <c r="D582" s="45" t="s">
        <v>202</v>
      </c>
      <c r="E582" s="50">
        <v>27.903225806451612</v>
      </c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35">
        <v>5.0023751E7</v>
      </c>
      <c r="B583" s="40" t="s">
        <v>1855</v>
      </c>
      <c r="C583" s="43" t="s">
        <v>1856</v>
      </c>
      <c r="D583" s="45" t="s">
        <v>202</v>
      </c>
      <c r="E583" s="50">
        <v>22.698924731182792</v>
      </c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35">
        <v>5.0023752E7</v>
      </c>
      <c r="B584" s="40" t="s">
        <v>1858</v>
      </c>
      <c r="C584" s="43" t="s">
        <v>1859</v>
      </c>
      <c r="D584" s="45" t="s">
        <v>202</v>
      </c>
      <c r="E584" s="50">
        <v>32.795698924731184</v>
      </c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35">
        <v>5.0023753E7</v>
      </c>
      <c r="B585" s="40" t="s">
        <v>1860</v>
      </c>
      <c r="C585" s="43" t="s">
        <v>1861</v>
      </c>
      <c r="D585" s="45" t="s">
        <v>202</v>
      </c>
      <c r="E585" s="50">
        <v>39.204301075268816</v>
      </c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35">
        <v>5.0023754E7</v>
      </c>
      <c r="B586" s="40" t="s">
        <v>1863</v>
      </c>
      <c r="C586" s="43" t="s">
        <v>1864</v>
      </c>
      <c r="D586" s="45" t="s">
        <v>202</v>
      </c>
      <c r="E586" s="50">
        <v>22.204301075268816</v>
      </c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35">
        <v>5.0023755E7</v>
      </c>
      <c r="B587" s="40" t="s">
        <v>1866</v>
      </c>
      <c r="C587" s="43" t="s">
        <v>1867</v>
      </c>
      <c r="D587" s="45" t="s">
        <v>202</v>
      </c>
      <c r="E587" s="50">
        <v>35.60215053763441</v>
      </c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35">
        <v>5.0023756E7</v>
      </c>
      <c r="B588" s="40" t="s">
        <v>1869</v>
      </c>
      <c r="C588" s="43" t="s">
        <v>1870</v>
      </c>
      <c r="D588" s="45" t="s">
        <v>202</v>
      </c>
      <c r="E588" s="50">
        <v>49.90322580645161</v>
      </c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35">
        <v>5.0023757E7</v>
      </c>
      <c r="B589" s="40" t="s">
        <v>1872</v>
      </c>
      <c r="C589" s="43" t="s">
        <v>1874</v>
      </c>
      <c r="D589" s="45" t="s">
        <v>17</v>
      </c>
      <c r="E589" s="50">
        <v>346.494623655914</v>
      </c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35">
        <v>5.0023758E7</v>
      </c>
      <c r="B590" s="40" t="s">
        <v>1876</v>
      </c>
      <c r="C590" s="43" t="s">
        <v>1878</v>
      </c>
      <c r="D590" s="45" t="s">
        <v>202</v>
      </c>
      <c r="E590" s="50">
        <v>80.39784946236558</v>
      </c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35">
        <v>5.0023759E7</v>
      </c>
      <c r="B591" s="40" t="s">
        <v>1880</v>
      </c>
      <c r="C591" s="43" t="s">
        <v>1881</v>
      </c>
      <c r="D591" s="45" t="s">
        <v>202</v>
      </c>
      <c r="E591" s="50">
        <v>103.20430107526882</v>
      </c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35">
        <v>5.002376E7</v>
      </c>
      <c r="B592" s="40" t="s">
        <v>1883</v>
      </c>
      <c r="C592" s="43" t="s">
        <v>1885</v>
      </c>
      <c r="D592" s="45" t="s">
        <v>17</v>
      </c>
      <c r="E592" s="50">
        <v>6.903225806451612</v>
      </c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35">
        <v>5.0023761E7</v>
      </c>
      <c r="B593" s="40" t="s">
        <v>1887</v>
      </c>
      <c r="C593" s="43" t="s">
        <v>1888</v>
      </c>
      <c r="D593" s="45" t="s">
        <v>17</v>
      </c>
      <c r="E593" s="50">
        <v>50.69892473118279</v>
      </c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35">
        <v>5.0023762E7</v>
      </c>
      <c r="B594" s="40" t="s">
        <v>1890</v>
      </c>
      <c r="C594" s="43" t="s">
        <v>1891</v>
      </c>
      <c r="D594" s="45" t="s">
        <v>17</v>
      </c>
      <c r="E594" s="50">
        <v>78.79569892473118</v>
      </c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35">
        <v>5.0023763E7</v>
      </c>
      <c r="B595" s="40" t="s">
        <v>1893</v>
      </c>
      <c r="C595" s="43" t="s">
        <v>1894</v>
      </c>
      <c r="D595" s="45" t="s">
        <v>17</v>
      </c>
      <c r="E595" s="50">
        <v>20.204301075268816</v>
      </c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35">
        <v>5.0023764E7</v>
      </c>
      <c r="B596" s="40" t="s">
        <v>1895</v>
      </c>
      <c r="C596" s="43" t="s">
        <v>1897</v>
      </c>
      <c r="D596" s="45" t="s">
        <v>17</v>
      </c>
      <c r="E596" s="50">
        <v>31.494623655913976</v>
      </c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35">
        <v>5.0023765E7</v>
      </c>
      <c r="B597" s="40" t="s">
        <v>1899</v>
      </c>
      <c r="C597" s="43" t="s">
        <v>1900</v>
      </c>
      <c r="D597" s="45" t="s">
        <v>17</v>
      </c>
      <c r="E597" s="50">
        <v>13.698924731182796</v>
      </c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35">
        <v>5.0023766E7</v>
      </c>
      <c r="B598" s="40" t="s">
        <v>1901</v>
      </c>
      <c r="C598" s="43" t="s">
        <v>1903</v>
      </c>
      <c r="D598" s="45" t="s">
        <v>17</v>
      </c>
      <c r="E598" s="50">
        <v>18.494623655913976</v>
      </c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35">
        <v>5.0023767E7</v>
      </c>
      <c r="B599" s="40" t="s">
        <v>1905</v>
      </c>
      <c r="C599" s="43" t="s">
        <v>1906</v>
      </c>
      <c r="D599" s="45" t="s">
        <v>17</v>
      </c>
      <c r="E599" s="50">
        <v>27.301075268817204</v>
      </c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35">
        <v>5.0023768E7</v>
      </c>
      <c r="B600" s="40" t="s">
        <v>1908</v>
      </c>
      <c r="C600" s="43" t="s">
        <v>1909</v>
      </c>
      <c r="D600" s="45" t="s">
        <v>17</v>
      </c>
      <c r="E600" s="50">
        <v>63.79569892473118</v>
      </c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35">
        <v>5.0023769E7</v>
      </c>
      <c r="B601" s="40" t="s">
        <v>1911</v>
      </c>
      <c r="C601" s="43" t="s">
        <v>1912</v>
      </c>
      <c r="D601" s="45" t="s">
        <v>17</v>
      </c>
      <c r="E601" s="50">
        <v>35.60215053763441</v>
      </c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35">
        <v>5.002377E7</v>
      </c>
      <c r="B602" s="40" t="s">
        <v>1914</v>
      </c>
      <c r="C602" s="43" t="s">
        <v>1915</v>
      </c>
      <c r="D602" s="45" t="s">
        <v>17</v>
      </c>
      <c r="E602" s="50">
        <v>27.096774193548384</v>
      </c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35">
        <v>5.0023771E7</v>
      </c>
      <c r="B603" s="40" t="s">
        <v>1918</v>
      </c>
      <c r="C603" s="43" t="s">
        <v>1919</v>
      </c>
      <c r="D603" s="45" t="s">
        <v>17</v>
      </c>
      <c r="E603" s="50">
        <v>7.795698924731182</v>
      </c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35">
        <v>5.0023772E7</v>
      </c>
      <c r="B604" s="40" t="s">
        <v>1922</v>
      </c>
      <c r="C604" s="43" t="s">
        <v>1923</v>
      </c>
      <c r="D604" s="45" t="s">
        <v>17</v>
      </c>
      <c r="E604" s="50">
        <v>40.3010752688172</v>
      </c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35">
        <v>5.0023773E7</v>
      </c>
      <c r="B605" s="40" t="s">
        <v>1925</v>
      </c>
      <c r="C605" s="43" t="s">
        <v>1926</v>
      </c>
      <c r="D605" s="45" t="s">
        <v>17</v>
      </c>
      <c r="E605" s="50">
        <v>11.204301075268816</v>
      </c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35">
        <v>5.0023774E7</v>
      </c>
      <c r="B606" s="40" t="s">
        <v>1928</v>
      </c>
      <c r="C606" s="43" t="s">
        <v>1929</v>
      </c>
      <c r="D606" s="45" t="s">
        <v>17</v>
      </c>
      <c r="E606" s="50">
        <v>34.99999999999999</v>
      </c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35">
        <v>5.0023788E7</v>
      </c>
      <c r="B607" s="40" t="s">
        <v>1932</v>
      </c>
      <c r="C607" s="43" t="s">
        <v>1933</v>
      </c>
      <c r="D607" s="45" t="s">
        <v>17</v>
      </c>
      <c r="E607" s="50">
        <v>50.69892473118279</v>
      </c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35">
        <v>5.0023797E7</v>
      </c>
      <c r="B608" s="40" t="s">
        <v>1935</v>
      </c>
      <c r="C608" s="43" t="s">
        <v>1936</v>
      </c>
      <c r="D608" s="45" t="s">
        <v>17</v>
      </c>
      <c r="E608" s="50">
        <v>207.39784946236557</v>
      </c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35">
        <v>5.0023798E7</v>
      </c>
      <c r="B609" s="40" t="s">
        <v>1938</v>
      </c>
      <c r="C609" s="43" t="s">
        <v>1939</v>
      </c>
      <c r="D609" s="45" t="s">
        <v>17</v>
      </c>
      <c r="E609" s="50">
        <v>256.6021505376344</v>
      </c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35">
        <v>5.0023799E7</v>
      </c>
      <c r="B610" s="40" t="s">
        <v>1941</v>
      </c>
      <c r="C610" s="43" t="s">
        <v>1942</v>
      </c>
      <c r="D610" s="45" t="s">
        <v>17</v>
      </c>
      <c r="E610" s="50">
        <v>293.0</v>
      </c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35">
        <v>5.00238E7</v>
      </c>
      <c r="B611" s="40" t="s">
        <v>1944</v>
      </c>
      <c r="C611" s="43" t="s">
        <v>1945</v>
      </c>
      <c r="D611" s="45" t="s">
        <v>17</v>
      </c>
      <c r="E611" s="50">
        <v>336.7956989247312</v>
      </c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35">
        <v>5.0023801E7</v>
      </c>
      <c r="B612" s="40" t="s">
        <v>1948</v>
      </c>
      <c r="C612" s="43" t="s">
        <v>1949</v>
      </c>
      <c r="D612" s="45" t="s">
        <v>17</v>
      </c>
      <c r="E612" s="50">
        <v>406.79569892473114</v>
      </c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35">
        <v>5.0023802E7</v>
      </c>
      <c r="B613" s="40" t="s">
        <v>1951</v>
      </c>
      <c r="C613" s="43" t="s">
        <v>1952</v>
      </c>
      <c r="D613" s="45" t="s">
        <v>17</v>
      </c>
      <c r="E613" s="50">
        <v>531.6021505376343</v>
      </c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35">
        <v>5.0023803E7</v>
      </c>
      <c r="B614" s="40" t="s">
        <v>1954</v>
      </c>
      <c r="C614" s="43" t="s">
        <v>1955</v>
      </c>
      <c r="D614" s="45" t="s">
        <v>17</v>
      </c>
      <c r="E614" s="50">
        <v>603.0967741935483</v>
      </c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35">
        <v>5.0023804E7</v>
      </c>
      <c r="B615" s="40" t="s">
        <v>1957</v>
      </c>
      <c r="C615" s="43" t="s">
        <v>1958</v>
      </c>
      <c r="D615" s="45" t="s">
        <v>17</v>
      </c>
      <c r="E615" s="50">
        <v>694.2043010752687</v>
      </c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35">
        <v>5.0023805E7</v>
      </c>
      <c r="B616" s="40" t="s">
        <v>1960</v>
      </c>
      <c r="C616" s="43" t="s">
        <v>1961</v>
      </c>
      <c r="D616" s="45" t="s">
        <v>17</v>
      </c>
      <c r="E616" s="50">
        <v>744.0967741935483</v>
      </c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35">
        <v>5.0023806E7</v>
      </c>
      <c r="B617" s="40" t="s">
        <v>1963</v>
      </c>
      <c r="C617" s="43" t="s">
        <v>1964</v>
      </c>
      <c r="D617" s="45" t="s">
        <v>17</v>
      </c>
      <c r="E617" s="50">
        <v>898.3978494623656</v>
      </c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35">
        <v>5.0023789E7</v>
      </c>
      <c r="B618" s="40" t="s">
        <v>1966</v>
      </c>
      <c r="C618" s="43" t="s">
        <v>1967</v>
      </c>
      <c r="D618" s="45" t="s">
        <v>17</v>
      </c>
      <c r="E618" s="50">
        <v>56.494623655913976</v>
      </c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35">
        <v>5.0023807E7</v>
      </c>
      <c r="B619" s="40" t="s">
        <v>1969</v>
      </c>
      <c r="C619" s="43" t="s">
        <v>1970</v>
      </c>
      <c r="D619" s="45" t="s">
        <v>17</v>
      </c>
      <c r="E619" s="50">
        <v>1020.9999999999999</v>
      </c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35">
        <v>5.0023808E7</v>
      </c>
      <c r="B620" s="40" t="s">
        <v>1973</v>
      </c>
      <c r="C620" s="43" t="s">
        <v>1974</v>
      </c>
      <c r="D620" s="45" t="s">
        <v>17</v>
      </c>
      <c r="E620" s="50">
        <v>1177.0967741935483</v>
      </c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35">
        <v>5.002379E7</v>
      </c>
      <c r="B621" s="40" t="s">
        <v>1976</v>
      </c>
      <c r="C621" s="43" t="s">
        <v>1977</v>
      </c>
      <c r="D621" s="45" t="s">
        <v>17</v>
      </c>
      <c r="E621" s="50">
        <v>62.3010752688172</v>
      </c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35">
        <v>5.0023791E7</v>
      </c>
      <c r="B622" s="40" t="s">
        <v>1979</v>
      </c>
      <c r="C622" s="43" t="s">
        <v>1980</v>
      </c>
      <c r="D622" s="45" t="s">
        <v>17</v>
      </c>
      <c r="E622" s="50">
        <v>68.9032258064516</v>
      </c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35">
        <v>5.0023792E7</v>
      </c>
      <c r="B623" s="40" t="s">
        <v>1982</v>
      </c>
      <c r="C623" s="43" t="s">
        <v>1983</v>
      </c>
      <c r="D623" s="45" t="s">
        <v>17</v>
      </c>
      <c r="E623" s="50">
        <v>75.3978494623656</v>
      </c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35">
        <v>5.0023793E7</v>
      </c>
      <c r="B624" s="40" t="s">
        <v>1985</v>
      </c>
      <c r="C624" s="43" t="s">
        <v>1986</v>
      </c>
      <c r="D624" s="45" t="s">
        <v>17</v>
      </c>
      <c r="E624" s="50">
        <v>87.9032258064516</v>
      </c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35">
        <v>5.0023794E7</v>
      </c>
      <c r="B625" s="40" t="s">
        <v>1988</v>
      </c>
      <c r="C625" s="43" t="s">
        <v>1989</v>
      </c>
      <c r="D625" s="45" t="s">
        <v>17</v>
      </c>
      <c r="E625" s="50">
        <v>107.39784946236558</v>
      </c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35">
        <v>5.0023795E7</v>
      </c>
      <c r="B626" s="40" t="s">
        <v>1990</v>
      </c>
      <c r="C626" s="43" t="s">
        <v>1992</v>
      </c>
      <c r="D626" s="45" t="s">
        <v>17</v>
      </c>
      <c r="E626" s="50">
        <v>130.49462365591398</v>
      </c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35">
        <v>5.0023796E7</v>
      </c>
      <c r="B627" s="40" t="s">
        <v>1994</v>
      </c>
      <c r="C627" s="43" t="s">
        <v>1995</v>
      </c>
      <c r="D627" s="45" t="s">
        <v>17</v>
      </c>
      <c r="E627" s="50">
        <v>157.2043010752688</v>
      </c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35">
        <v>5.0023809E7</v>
      </c>
      <c r="B628" s="40" t="s">
        <v>1997</v>
      </c>
      <c r="C628" s="43" t="s">
        <v>1998</v>
      </c>
      <c r="D628" s="45" t="s">
        <v>17</v>
      </c>
      <c r="E628" s="50">
        <v>21.903225806451612</v>
      </c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35">
        <v>5.0023818E7</v>
      </c>
      <c r="B629" s="40" t="s">
        <v>2000</v>
      </c>
      <c r="C629" s="43" t="s">
        <v>2001</v>
      </c>
      <c r="D629" s="45" t="s">
        <v>17</v>
      </c>
      <c r="E629" s="50">
        <v>138.6021505376344</v>
      </c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35">
        <v>5.0023819E7</v>
      </c>
      <c r="B630" s="40" t="s">
        <v>2003</v>
      </c>
      <c r="C630" s="43" t="s">
        <v>2004</v>
      </c>
      <c r="D630" s="45" t="s">
        <v>17</v>
      </c>
      <c r="E630" s="50">
        <v>175.09677419354838</v>
      </c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35">
        <v>5.002382E7</v>
      </c>
      <c r="B631" s="40" t="s">
        <v>2005</v>
      </c>
      <c r="C631" s="43" t="s">
        <v>2006</v>
      </c>
      <c r="D631" s="45" t="s">
        <v>17</v>
      </c>
      <c r="E631" s="50">
        <v>211.6021505376344</v>
      </c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35">
        <v>5.0023821E7</v>
      </c>
      <c r="B632" s="40" t="s">
        <v>2008</v>
      </c>
      <c r="C632" s="43" t="s">
        <v>2009</v>
      </c>
      <c r="D632" s="45" t="s">
        <v>17</v>
      </c>
      <c r="E632" s="50">
        <v>251.0</v>
      </c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35">
        <v>5.0023822E7</v>
      </c>
      <c r="B633" s="40" t="s">
        <v>2011</v>
      </c>
      <c r="C633" s="43" t="s">
        <v>2012</v>
      </c>
      <c r="D633" s="45" t="s">
        <v>17</v>
      </c>
      <c r="E633" s="50">
        <v>320.99999999999994</v>
      </c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35">
        <v>5.0023823E7</v>
      </c>
      <c r="B634" s="40" t="s">
        <v>2013</v>
      </c>
      <c r="C634" s="43" t="s">
        <v>2014</v>
      </c>
      <c r="D634" s="45" t="s">
        <v>17</v>
      </c>
      <c r="E634" s="50">
        <v>427.4946236559139</v>
      </c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35">
        <v>5.0023824E7</v>
      </c>
      <c r="B635" s="40" t="s">
        <v>2016</v>
      </c>
      <c r="C635" s="43" t="s">
        <v>2017</v>
      </c>
      <c r="D635" s="45" t="s">
        <v>17</v>
      </c>
      <c r="E635" s="50">
        <v>499.6021505376344</v>
      </c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35">
        <v>5.0023825E7</v>
      </c>
      <c r="B636" s="40" t="s">
        <v>2019</v>
      </c>
      <c r="C636" s="43" t="s">
        <v>2020</v>
      </c>
      <c r="D636" s="45" t="s">
        <v>17</v>
      </c>
      <c r="E636" s="50">
        <v>587.2043010752689</v>
      </c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35">
        <v>5.0023826E7</v>
      </c>
      <c r="B637" s="40" t="s">
        <v>2022</v>
      </c>
      <c r="C637" s="43" t="s">
        <v>2023</v>
      </c>
      <c r="D637" s="45" t="s">
        <v>17</v>
      </c>
      <c r="E637" s="50">
        <v>682.0</v>
      </c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35">
        <v>5.0023827E7</v>
      </c>
      <c r="B638" s="40" t="s">
        <v>2025</v>
      </c>
      <c r="C638" s="43" t="s">
        <v>2026</v>
      </c>
      <c r="D638" s="45" t="s">
        <v>17</v>
      </c>
      <c r="E638" s="50">
        <v>765.9032258064516</v>
      </c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35">
        <v>5.002381E7</v>
      </c>
      <c r="B639" s="40" t="s">
        <v>2028</v>
      </c>
      <c r="C639" s="43" t="s">
        <v>2029</v>
      </c>
      <c r="D639" s="45" t="s">
        <v>17</v>
      </c>
      <c r="E639" s="50">
        <v>26.301075268817204</v>
      </c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35">
        <v>5.0023828E7</v>
      </c>
      <c r="B640" s="40" t="s">
        <v>2031</v>
      </c>
      <c r="C640" s="43" t="s">
        <v>2032</v>
      </c>
      <c r="D640" s="45" t="s">
        <v>17</v>
      </c>
      <c r="E640" s="50">
        <v>870.9032258064516</v>
      </c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35">
        <v>5.0023829E7</v>
      </c>
      <c r="B641" s="40" t="s">
        <v>2034</v>
      </c>
      <c r="C641" s="43" t="s">
        <v>2035</v>
      </c>
      <c r="D641" s="45" t="s">
        <v>17</v>
      </c>
      <c r="E641" s="50">
        <v>1027.0967741935483</v>
      </c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35">
        <v>5.0023811E7</v>
      </c>
      <c r="B642" s="40" t="s">
        <v>2037</v>
      </c>
      <c r="C642" s="43" t="s">
        <v>2038</v>
      </c>
      <c r="D642" s="45" t="s">
        <v>17</v>
      </c>
      <c r="E642" s="50">
        <v>30.698924731182796</v>
      </c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35">
        <v>5.0023812E7</v>
      </c>
      <c r="B643" s="40" t="s">
        <v>2040</v>
      </c>
      <c r="C643" s="43" t="s">
        <v>2041</v>
      </c>
      <c r="D643" s="45" t="s">
        <v>17</v>
      </c>
      <c r="E643" s="50">
        <v>35.6989247311828</v>
      </c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35">
        <v>5.0023813E7</v>
      </c>
      <c r="B644" s="40" t="s">
        <v>2043</v>
      </c>
      <c r="C644" s="43" t="s">
        <v>2044</v>
      </c>
      <c r="D644" s="45" t="s">
        <v>17</v>
      </c>
      <c r="E644" s="50">
        <v>41.6021505376344</v>
      </c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35">
        <v>5.0023814E7</v>
      </c>
      <c r="B645" s="40" t="s">
        <v>2046</v>
      </c>
      <c r="C645" s="43" t="s">
        <v>2047</v>
      </c>
      <c r="D645" s="45" t="s">
        <v>17</v>
      </c>
      <c r="E645" s="50">
        <v>50.3010752688172</v>
      </c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35">
        <v>5.0023815E7</v>
      </c>
      <c r="B646" s="40" t="s">
        <v>2049</v>
      </c>
      <c r="C646" s="43" t="s">
        <v>2050</v>
      </c>
      <c r="D646" s="45" t="s">
        <v>17</v>
      </c>
      <c r="E646" s="50">
        <v>61.39784946236559</v>
      </c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35">
        <v>5.0023816E7</v>
      </c>
      <c r="B647" s="40" t="s">
        <v>2052</v>
      </c>
      <c r="C647" s="43" t="s">
        <v>2053</v>
      </c>
      <c r="D647" s="45" t="s">
        <v>17</v>
      </c>
      <c r="E647" s="50">
        <v>79.49462365591398</v>
      </c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35">
        <v>5.0023817E7</v>
      </c>
      <c r="B648" s="40" t="s">
        <v>2055</v>
      </c>
      <c r="C648" s="43" t="s">
        <v>2057</v>
      </c>
      <c r="D648" s="45" t="s">
        <v>17</v>
      </c>
      <c r="E648" s="50">
        <v>97.79569892473118</v>
      </c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35">
        <v>5.0023834E7</v>
      </c>
      <c r="B649" s="40" t="s">
        <v>2059</v>
      </c>
      <c r="C649" s="43" t="s">
        <v>2060</v>
      </c>
      <c r="D649" s="45" t="s">
        <v>215</v>
      </c>
      <c r="E649" s="50">
        <v>0.5806451612903226</v>
      </c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35">
        <v>5.0023835E7</v>
      </c>
      <c r="B650" s="40" t="s">
        <v>2062</v>
      </c>
      <c r="C650" s="43" t="s">
        <v>2063</v>
      </c>
      <c r="D650" s="45" t="s">
        <v>17</v>
      </c>
      <c r="E650" s="50">
        <v>1709.0967741935483</v>
      </c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35">
        <v>5.0023836E7</v>
      </c>
      <c r="B651" s="40" t="s">
        <v>2065</v>
      </c>
      <c r="C651" s="43" t="s">
        <v>2066</v>
      </c>
      <c r="D651" s="45" t="s">
        <v>17</v>
      </c>
      <c r="E651" s="50">
        <v>1719.6021505376343</v>
      </c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35">
        <v>5.0023837E7</v>
      </c>
      <c r="B652" s="40" t="s">
        <v>2068</v>
      </c>
      <c r="C652" s="43" t="s">
        <v>2069</v>
      </c>
      <c r="D652" s="45" t="s">
        <v>17</v>
      </c>
      <c r="E652" s="50">
        <v>1719.6021505376343</v>
      </c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35">
        <v>5.0023775E7</v>
      </c>
      <c r="B653" s="40" t="s">
        <v>2071</v>
      </c>
      <c r="C653" s="43" t="s">
        <v>2073</v>
      </c>
      <c r="D653" s="45" t="s">
        <v>17</v>
      </c>
      <c r="E653" s="50">
        <v>189.0</v>
      </c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35">
        <v>5.0023776E7</v>
      </c>
      <c r="B654" s="40" t="s">
        <v>2075</v>
      </c>
      <c r="C654" s="43" t="s">
        <v>2076</v>
      </c>
      <c r="D654" s="45" t="s">
        <v>17</v>
      </c>
      <c r="E654" s="50">
        <v>67.20430107526882</v>
      </c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35">
        <v>5.0023838E7</v>
      </c>
      <c r="B655" s="40" t="s">
        <v>2078</v>
      </c>
      <c r="C655" s="43" t="s">
        <v>945</v>
      </c>
      <c r="D655" s="45" t="s">
        <v>17</v>
      </c>
      <c r="E655" s="50">
        <v>21.903225806451612</v>
      </c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35">
        <v>5.0023839E7</v>
      </c>
      <c r="B656" s="40" t="s">
        <v>2080</v>
      </c>
      <c r="C656" s="43" t="s">
        <v>2081</v>
      </c>
      <c r="D656" s="45" t="s">
        <v>202</v>
      </c>
      <c r="E656" s="50">
        <v>9.795698924731182</v>
      </c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35">
        <v>5.002384E7</v>
      </c>
      <c r="B657" s="40" t="s">
        <v>2083</v>
      </c>
      <c r="C657" s="43" t="s">
        <v>2084</v>
      </c>
      <c r="D657" s="45" t="s">
        <v>17</v>
      </c>
      <c r="E657" s="50">
        <v>3.0</v>
      </c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35">
        <v>5.0023841E7</v>
      </c>
      <c r="B658" s="40" t="s">
        <v>2086</v>
      </c>
      <c r="C658" s="43" t="s">
        <v>2087</v>
      </c>
      <c r="D658" s="45" t="s">
        <v>17</v>
      </c>
      <c r="E658" s="50">
        <v>1.4731182795698925</v>
      </c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35">
        <v>5.0023842E7</v>
      </c>
      <c r="B659" s="40" t="s">
        <v>2089</v>
      </c>
      <c r="C659" s="43" t="s">
        <v>2090</v>
      </c>
      <c r="D659" s="45" t="s">
        <v>17</v>
      </c>
      <c r="E659" s="50">
        <v>102.2043010752688</v>
      </c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35">
        <v>5.0023843E7</v>
      </c>
      <c r="B660" s="40" t="s">
        <v>2092</v>
      </c>
      <c r="C660" s="43" t="s">
        <v>2093</v>
      </c>
      <c r="D660" s="45" t="s">
        <v>17</v>
      </c>
      <c r="E660" s="50">
        <v>151.79569892473117</v>
      </c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35">
        <v>5.0023844E7</v>
      </c>
      <c r="B661" s="40" t="s">
        <v>2096</v>
      </c>
      <c r="C661" s="43" t="s">
        <v>983</v>
      </c>
      <c r="D661" s="45" t="s">
        <v>17</v>
      </c>
      <c r="E661" s="50">
        <v>6.795698924731183</v>
      </c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35">
        <v>5.0023845E7</v>
      </c>
      <c r="B662" s="40" t="s">
        <v>2098</v>
      </c>
      <c r="C662" s="43" t="s">
        <v>2100</v>
      </c>
      <c r="D662" s="45" t="s">
        <v>17</v>
      </c>
      <c r="E662" s="50">
        <v>5.204301075268817</v>
      </c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35">
        <v>5.0023846E7</v>
      </c>
      <c r="B663" s="40" t="s">
        <v>2102</v>
      </c>
      <c r="C663" s="43" t="s">
        <v>2103</v>
      </c>
      <c r="D663" s="45" t="s">
        <v>17</v>
      </c>
      <c r="E663" s="50">
        <v>61.90322580645161</v>
      </c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35">
        <v>5.0023847E7</v>
      </c>
      <c r="B664" s="40" t="s">
        <v>2107</v>
      </c>
      <c r="C664" s="43" t="s">
        <v>2108</v>
      </c>
      <c r="D664" s="45" t="s">
        <v>17</v>
      </c>
      <c r="E664" s="50">
        <v>98.3010752688172</v>
      </c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35">
        <v>5.0023848E7</v>
      </c>
      <c r="B665" s="40" t="s">
        <v>2111</v>
      </c>
      <c r="C665" s="43" t="s">
        <v>2112</v>
      </c>
      <c r="D665" s="45" t="s">
        <v>17</v>
      </c>
      <c r="E665" s="50">
        <v>2.225806451612903</v>
      </c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35">
        <v>5.0023849E7</v>
      </c>
      <c r="B666" s="40" t="s">
        <v>2114</v>
      </c>
      <c r="C666" s="43" t="s">
        <v>2116</v>
      </c>
      <c r="D666" s="45" t="s">
        <v>17</v>
      </c>
      <c r="E666" s="50">
        <v>4.494623655913978</v>
      </c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35">
        <v>5.002385E7</v>
      </c>
      <c r="B667" s="40" t="s">
        <v>2118</v>
      </c>
      <c r="C667" s="43" t="s">
        <v>2119</v>
      </c>
      <c r="D667" s="45" t="s">
        <v>17</v>
      </c>
      <c r="E667" s="50">
        <v>6.698924731182796</v>
      </c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35">
        <v>5.0023851E7</v>
      </c>
      <c r="B668" s="40" t="s">
        <v>2121</v>
      </c>
      <c r="C668" s="43" t="s">
        <v>2123</v>
      </c>
      <c r="D668" s="45" t="s">
        <v>17</v>
      </c>
      <c r="E668" s="50">
        <v>8.795698924731182</v>
      </c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35">
        <v>5.0023852E7</v>
      </c>
      <c r="B669" s="40" t="s">
        <v>2124</v>
      </c>
      <c r="C669" s="43" t="s">
        <v>2125</v>
      </c>
      <c r="D669" s="45" t="s">
        <v>17</v>
      </c>
      <c r="E669" s="50">
        <v>11.0</v>
      </c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35">
        <v>5.0023853E7</v>
      </c>
      <c r="B670" s="40" t="s">
        <v>2128</v>
      </c>
      <c r="C670" s="43" t="s">
        <v>2129</v>
      </c>
      <c r="D670" s="45" t="s">
        <v>17</v>
      </c>
      <c r="E670" s="50">
        <v>13.204301075268816</v>
      </c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35">
        <v>5.0023854E7</v>
      </c>
      <c r="B671" s="40" t="s">
        <v>2131</v>
      </c>
      <c r="C671" s="43" t="s">
        <v>2132</v>
      </c>
      <c r="D671" s="45" t="s">
        <v>17</v>
      </c>
      <c r="E671" s="50">
        <v>16.096774193548388</v>
      </c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35">
        <v>5.0023855E7</v>
      </c>
      <c r="B672" s="40" t="s">
        <v>2134</v>
      </c>
      <c r="C672" s="43" t="s">
        <v>2135</v>
      </c>
      <c r="D672" s="45" t="s">
        <v>17</v>
      </c>
      <c r="E672" s="50">
        <v>17.602150537634408</v>
      </c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35">
        <v>5.0023856E7</v>
      </c>
      <c r="B673" s="40" t="s">
        <v>2137</v>
      </c>
      <c r="C673" s="43" t="s">
        <v>2138</v>
      </c>
      <c r="D673" s="45" t="s">
        <v>17</v>
      </c>
      <c r="E673" s="50">
        <v>21.3010752688172</v>
      </c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35">
        <v>5.0023857E7</v>
      </c>
      <c r="B674" s="40" t="s">
        <v>2141</v>
      </c>
      <c r="C674" s="43" t="s">
        <v>2142</v>
      </c>
      <c r="D674" s="45" t="s">
        <v>17</v>
      </c>
      <c r="E674" s="50">
        <v>24.79569892473118</v>
      </c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35">
        <v>5.0023858E7</v>
      </c>
      <c r="B675" s="40" t="s">
        <v>2144</v>
      </c>
      <c r="C675" s="43" t="s">
        <v>2145</v>
      </c>
      <c r="D675" s="45" t="s">
        <v>17</v>
      </c>
      <c r="E675" s="50">
        <v>14.602150537634408</v>
      </c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35">
        <v>5.0023859E7</v>
      </c>
      <c r="B676" s="40" t="s">
        <v>2148</v>
      </c>
      <c r="C676" s="43" t="s">
        <v>2149</v>
      </c>
      <c r="D676" s="45" t="s">
        <v>17</v>
      </c>
      <c r="E676" s="50">
        <v>2.5483870967741935</v>
      </c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35">
        <v>5.002386E7</v>
      </c>
      <c r="B677" s="40" t="s">
        <v>2152</v>
      </c>
      <c r="C677" s="43" t="s">
        <v>2153</v>
      </c>
      <c r="D677" s="45" t="s">
        <v>17</v>
      </c>
      <c r="E677" s="50">
        <v>17.0</v>
      </c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35">
        <v>5.0023861E7</v>
      </c>
      <c r="B678" s="40" t="s">
        <v>2155</v>
      </c>
      <c r="C678" s="43" t="s">
        <v>2156</v>
      </c>
      <c r="D678" s="45" t="s">
        <v>17</v>
      </c>
      <c r="E678" s="50">
        <v>8.39784946236559</v>
      </c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35">
        <v>5.0023862E7</v>
      </c>
      <c r="B679" s="40" t="s">
        <v>2158</v>
      </c>
      <c r="C679" s="43" t="s">
        <v>2159</v>
      </c>
      <c r="D679" s="45" t="s">
        <v>17</v>
      </c>
      <c r="E679" s="50">
        <v>4.204301075268817</v>
      </c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35">
        <v>5.0023863E7</v>
      </c>
      <c r="B680" s="40" t="s">
        <v>2161</v>
      </c>
      <c r="C680" s="43" t="s">
        <v>2162</v>
      </c>
      <c r="D680" s="45" t="s">
        <v>17</v>
      </c>
      <c r="E680" s="50">
        <v>2.7634408602150535</v>
      </c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35">
        <v>5.0023864E7</v>
      </c>
      <c r="B681" s="40" t="s">
        <v>2165</v>
      </c>
      <c r="C681" s="43" t="s">
        <v>2166</v>
      </c>
      <c r="D681" s="45" t="s">
        <v>17</v>
      </c>
      <c r="E681" s="50">
        <v>5.096774193548387</v>
      </c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35">
        <v>5.0023865E7</v>
      </c>
      <c r="B682" s="40" t="s">
        <v>2168</v>
      </c>
      <c r="C682" s="43" t="s">
        <v>1025</v>
      </c>
      <c r="D682" s="45" t="s">
        <v>17</v>
      </c>
      <c r="E682" s="50">
        <v>1.4838709677419353</v>
      </c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35">
        <v>5.0023866E7</v>
      </c>
      <c r="B683" s="40" t="s">
        <v>2170</v>
      </c>
      <c r="C683" s="43" t="s">
        <v>2171</v>
      </c>
      <c r="D683" s="45" t="s">
        <v>17</v>
      </c>
      <c r="E683" s="50">
        <v>7.301075268817204</v>
      </c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35">
        <v>5.0023867E7</v>
      </c>
      <c r="B684" s="40" t="s">
        <v>2173</v>
      </c>
      <c r="C684" s="43" t="s">
        <v>2174</v>
      </c>
      <c r="D684" s="45" t="s">
        <v>17</v>
      </c>
      <c r="E684" s="50">
        <v>14.602150537634408</v>
      </c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35">
        <v>5.0023868E7</v>
      </c>
      <c r="B685" s="40" t="s">
        <v>2176</v>
      </c>
      <c r="C685" s="43" t="s">
        <v>2177</v>
      </c>
      <c r="D685" s="45" t="s">
        <v>17</v>
      </c>
      <c r="E685" s="50">
        <v>10.204301075268816</v>
      </c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35">
        <v>5.0023869E7</v>
      </c>
      <c r="B686" s="40" t="s">
        <v>2179</v>
      </c>
      <c r="C686" s="43" t="s">
        <v>2180</v>
      </c>
      <c r="D686" s="45" t="s">
        <v>17</v>
      </c>
      <c r="E686" s="50">
        <v>3.3978494623655915</v>
      </c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35">
        <v>5.002387E7</v>
      </c>
      <c r="B687" s="40" t="s">
        <v>2182</v>
      </c>
      <c r="C687" s="43" t="s">
        <v>2183</v>
      </c>
      <c r="D687" s="45" t="s">
        <v>17</v>
      </c>
      <c r="E687" s="50">
        <v>1.3548387096774193</v>
      </c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35">
        <v>5.0023871E7</v>
      </c>
      <c r="B688" s="40" t="s">
        <v>2185</v>
      </c>
      <c r="C688" s="43" t="s">
        <v>2186</v>
      </c>
      <c r="D688" s="45" t="s">
        <v>17</v>
      </c>
      <c r="E688" s="50">
        <v>3.096774193548387</v>
      </c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35">
        <v>5.0023872E7</v>
      </c>
      <c r="B689" s="40" t="s">
        <v>2188</v>
      </c>
      <c r="C689" s="43" t="s">
        <v>2189</v>
      </c>
      <c r="D689" s="45" t="s">
        <v>17</v>
      </c>
      <c r="E689" s="50">
        <v>1.6989247311827957</v>
      </c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35">
        <v>5.0023873E7</v>
      </c>
      <c r="B690" s="40" t="s">
        <v>2191</v>
      </c>
      <c r="C690" s="43" t="s">
        <v>2192</v>
      </c>
      <c r="D690" s="45" t="s">
        <v>17</v>
      </c>
      <c r="E690" s="50">
        <v>4.0</v>
      </c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35">
        <v>5.0023874E7</v>
      </c>
      <c r="B691" s="40" t="s">
        <v>2194</v>
      </c>
      <c r="C691" s="43" t="s">
        <v>2195</v>
      </c>
      <c r="D691" s="45" t="s">
        <v>17</v>
      </c>
      <c r="E691" s="50">
        <v>8.39784946236559</v>
      </c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35">
        <v>5.0023875E7</v>
      </c>
      <c r="B692" s="40" t="s">
        <v>2197</v>
      </c>
      <c r="C692" s="43" t="s">
        <v>2198</v>
      </c>
      <c r="D692" s="45" t="s">
        <v>17</v>
      </c>
      <c r="E692" s="50">
        <v>3.0</v>
      </c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35">
        <v>5.0023876E7</v>
      </c>
      <c r="B693" s="40" t="s">
        <v>2200</v>
      </c>
      <c r="C693" s="43" t="s">
        <v>2201</v>
      </c>
      <c r="D693" s="45" t="s">
        <v>17</v>
      </c>
      <c r="E693" s="50">
        <v>2.354838709677419</v>
      </c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35">
        <v>5.0023877E7</v>
      </c>
      <c r="B694" s="40" t="s">
        <v>2202</v>
      </c>
      <c r="C694" s="43" t="s">
        <v>2204</v>
      </c>
      <c r="D694" s="45" t="s">
        <v>17</v>
      </c>
      <c r="E694" s="50">
        <v>3.3978494623655915</v>
      </c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35">
        <v>5.0023878E7</v>
      </c>
      <c r="B695" s="40" t="s">
        <v>2205</v>
      </c>
      <c r="C695" s="43" t="s">
        <v>2206</v>
      </c>
      <c r="D695" s="45" t="s">
        <v>17</v>
      </c>
      <c r="E695" s="50">
        <v>0.17204301075268816</v>
      </c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35">
        <v>5.0023879E7</v>
      </c>
      <c r="B696" s="40" t="s">
        <v>2208</v>
      </c>
      <c r="C696" s="43" t="s">
        <v>2209</v>
      </c>
      <c r="D696" s="45" t="s">
        <v>17</v>
      </c>
      <c r="E696" s="50">
        <v>15.204301075268816</v>
      </c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35">
        <v>5.002388E7</v>
      </c>
      <c r="B697" s="40" t="s">
        <v>2211</v>
      </c>
      <c r="C697" s="43" t="s">
        <v>2212</v>
      </c>
      <c r="D697" s="45" t="s">
        <v>17</v>
      </c>
      <c r="E697" s="50">
        <v>13.795698924731182</v>
      </c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35">
        <v>5.0023881E7</v>
      </c>
      <c r="B698" s="40" t="s">
        <v>2213</v>
      </c>
      <c r="C698" s="43" t="s">
        <v>2214</v>
      </c>
      <c r="D698" s="45" t="s">
        <v>17</v>
      </c>
      <c r="E698" s="50">
        <v>4.494623655913978</v>
      </c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35">
        <v>5.0023882E7</v>
      </c>
      <c r="B699" s="40" t="s">
        <v>2216</v>
      </c>
      <c r="C699" s="43" t="s">
        <v>2217</v>
      </c>
      <c r="D699" s="45" t="s">
        <v>17</v>
      </c>
      <c r="E699" s="50">
        <v>1.6989247311827957</v>
      </c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35">
        <v>5.0023883E7</v>
      </c>
      <c r="B700" s="40" t="s">
        <v>2218</v>
      </c>
      <c r="C700" s="43" t="s">
        <v>2219</v>
      </c>
      <c r="D700" s="45" t="s">
        <v>17</v>
      </c>
      <c r="E700" s="50">
        <v>5.096774193548387</v>
      </c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35">
        <v>5.0023884E7</v>
      </c>
      <c r="B701" s="40" t="s">
        <v>2221</v>
      </c>
      <c r="C701" s="43" t="s">
        <v>2222</v>
      </c>
      <c r="D701" s="45" t="s">
        <v>17</v>
      </c>
      <c r="E701" s="50">
        <v>7.903225806451612</v>
      </c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35">
        <v>5.0023783E7</v>
      </c>
      <c r="B702" s="40" t="s">
        <v>2224</v>
      </c>
      <c r="C702" s="43" t="s">
        <v>2225</v>
      </c>
      <c r="D702" s="45" t="s">
        <v>2226</v>
      </c>
      <c r="E702" s="50">
        <v>2310.0</v>
      </c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35">
        <v>5.0023784E7</v>
      </c>
      <c r="B703" s="40" t="s">
        <v>2227</v>
      </c>
      <c r="C703" s="43" t="s">
        <v>2229</v>
      </c>
      <c r="D703" s="45" t="s">
        <v>215</v>
      </c>
      <c r="E703" s="50">
        <v>1155.0</v>
      </c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35">
        <v>5.0023785E7</v>
      </c>
      <c r="B704" s="40" t="s">
        <v>2231</v>
      </c>
      <c r="C704" s="43" t="s">
        <v>2232</v>
      </c>
      <c r="D704" s="45" t="s">
        <v>215</v>
      </c>
      <c r="E704" s="50">
        <v>1207.494623655914</v>
      </c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35">
        <v>5.0023786E7</v>
      </c>
      <c r="B705" s="40" t="s">
        <v>2234</v>
      </c>
      <c r="C705" s="43" t="s">
        <v>2235</v>
      </c>
      <c r="D705" s="45" t="s">
        <v>215</v>
      </c>
      <c r="E705" s="50">
        <v>2414.9999999999995</v>
      </c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35">
        <v>5.0023885E7</v>
      </c>
      <c r="B706" s="40" t="s">
        <v>2237</v>
      </c>
      <c r="C706" s="43" t="s">
        <v>2238</v>
      </c>
      <c r="D706" s="45" t="s">
        <v>202</v>
      </c>
      <c r="E706" s="50">
        <v>0.47311827956989244</v>
      </c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35">
        <v>5.0023886E7</v>
      </c>
      <c r="B707" s="40" t="s">
        <v>2239</v>
      </c>
      <c r="C707" s="43" t="s">
        <v>2240</v>
      </c>
      <c r="D707" s="45" t="s">
        <v>202</v>
      </c>
      <c r="E707" s="50">
        <v>0.6774193548387096</v>
      </c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35">
        <v>5.0023887E7</v>
      </c>
      <c r="B708" s="40" t="s">
        <v>2242</v>
      </c>
      <c r="C708" s="43" t="s">
        <v>2243</v>
      </c>
      <c r="D708" s="45" t="s">
        <v>202</v>
      </c>
      <c r="E708" s="50">
        <v>0.9032258064516128</v>
      </c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35">
        <v>5.0023888E7</v>
      </c>
      <c r="B709" s="40" t="s">
        <v>2245</v>
      </c>
      <c r="C709" s="43" t="s">
        <v>2246</v>
      </c>
      <c r="D709" s="45" t="s">
        <v>202</v>
      </c>
      <c r="E709" s="50">
        <v>1.3655913978494623</v>
      </c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35">
        <v>5.0023889E7</v>
      </c>
      <c r="B710" s="40" t="s">
        <v>2248</v>
      </c>
      <c r="C710" s="43" t="s">
        <v>2249</v>
      </c>
      <c r="D710" s="45" t="s">
        <v>202</v>
      </c>
      <c r="E710" s="50">
        <v>1.9247311827956988</v>
      </c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35">
        <v>5.002389E7</v>
      </c>
      <c r="B711" s="40" t="s">
        <v>2251</v>
      </c>
      <c r="C711" s="43" t="s">
        <v>2252</v>
      </c>
      <c r="D711" s="45" t="s">
        <v>202</v>
      </c>
      <c r="E711" s="50">
        <v>1.8279569892473118</v>
      </c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35">
        <v>5.0023891E7</v>
      </c>
      <c r="B712" s="40" t="s">
        <v>2254</v>
      </c>
      <c r="C712" s="43" t="s">
        <v>2255</v>
      </c>
      <c r="D712" s="45" t="s">
        <v>202</v>
      </c>
      <c r="E712" s="50">
        <v>2.204301075268817</v>
      </c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35">
        <v>5.0023892E7</v>
      </c>
      <c r="B713" s="40" t="s">
        <v>2257</v>
      </c>
      <c r="C713" s="43" t="s">
        <v>2258</v>
      </c>
      <c r="D713" s="45" t="s">
        <v>202</v>
      </c>
      <c r="E713" s="50">
        <v>2.6021505376344085</v>
      </c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35">
        <v>5.0023893E7</v>
      </c>
      <c r="B714" s="40" t="s">
        <v>2260</v>
      </c>
      <c r="C714" s="43" t="s">
        <v>2261</v>
      </c>
      <c r="D714" s="45" t="s">
        <v>202</v>
      </c>
      <c r="E714" s="50">
        <v>2.3440860215053765</v>
      </c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35">
        <v>5.0023894E7</v>
      </c>
      <c r="B715" s="40" t="s">
        <v>2262</v>
      </c>
      <c r="C715" s="43" t="s">
        <v>2263</v>
      </c>
      <c r="D715" s="45" t="s">
        <v>202</v>
      </c>
      <c r="E715" s="50">
        <v>3.150537634408602</v>
      </c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35">
        <v>5.0023895E7</v>
      </c>
      <c r="B716" s="40" t="s">
        <v>2265</v>
      </c>
      <c r="C716" s="43" t="s">
        <v>2266</v>
      </c>
      <c r="D716" s="45" t="s">
        <v>202</v>
      </c>
      <c r="E716" s="50">
        <v>4.096774193548387</v>
      </c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35">
        <v>5.0023896E7</v>
      </c>
      <c r="B717" s="40" t="s">
        <v>2268</v>
      </c>
      <c r="C717" s="43" t="s">
        <v>2269</v>
      </c>
      <c r="D717" s="45" t="s">
        <v>202</v>
      </c>
      <c r="E717" s="50">
        <v>3.344086021505376</v>
      </c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35">
        <v>5.0023897E7</v>
      </c>
      <c r="B718" s="40" t="s">
        <v>2270</v>
      </c>
      <c r="C718" s="43" t="s">
        <v>2271</v>
      </c>
      <c r="D718" s="45" t="s">
        <v>202</v>
      </c>
      <c r="E718" s="50">
        <v>3.9032258064516125</v>
      </c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35">
        <v>5.0023898E7</v>
      </c>
      <c r="B719" s="40" t="s">
        <v>2273</v>
      </c>
      <c r="C719" s="43" t="s">
        <v>2274</v>
      </c>
      <c r="D719" s="45" t="s">
        <v>202</v>
      </c>
      <c r="E719" s="50">
        <v>4.602150537634409</v>
      </c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35">
        <v>5.0023899E7</v>
      </c>
      <c r="B720" s="40" t="s">
        <v>2275</v>
      </c>
      <c r="C720" s="43" t="s">
        <v>2277</v>
      </c>
      <c r="D720" s="45" t="s">
        <v>202</v>
      </c>
      <c r="E720" s="50">
        <v>5.795698924731182</v>
      </c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35">
        <v>5.00239E7</v>
      </c>
      <c r="B721" s="40" t="s">
        <v>2278</v>
      </c>
      <c r="C721" s="43" t="s">
        <v>1066</v>
      </c>
      <c r="D721" s="45" t="s">
        <v>202</v>
      </c>
      <c r="E721" s="50">
        <v>1.3763440860215053</v>
      </c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35">
        <v>5.0023901E7</v>
      </c>
      <c r="B722" s="40" t="s">
        <v>2279</v>
      </c>
      <c r="C722" s="43" t="s">
        <v>1076</v>
      </c>
      <c r="D722" s="45" t="s">
        <v>202</v>
      </c>
      <c r="E722" s="50">
        <v>1.096774193548387</v>
      </c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35">
        <v>5.0023902E7</v>
      </c>
      <c r="B723" s="40" t="s">
        <v>2281</v>
      </c>
      <c r="C723" s="43" t="s">
        <v>2282</v>
      </c>
      <c r="D723" s="45" t="s">
        <v>202</v>
      </c>
      <c r="E723" s="50">
        <v>0.2258064516129032</v>
      </c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35">
        <v>5.0023903E7</v>
      </c>
      <c r="B724" s="40" t="s">
        <v>2284</v>
      </c>
      <c r="C724" s="43" t="s">
        <v>2285</v>
      </c>
      <c r="D724" s="45" t="s">
        <v>17</v>
      </c>
      <c r="E724" s="50">
        <v>1.075268817204301</v>
      </c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35">
        <v>5.0023904E7</v>
      </c>
      <c r="B725" s="40" t="s">
        <v>2287</v>
      </c>
      <c r="C725" s="43" t="s">
        <v>2288</v>
      </c>
      <c r="D725" s="45" t="s">
        <v>202</v>
      </c>
      <c r="E725" s="50">
        <v>0.5376344086021505</v>
      </c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35">
        <v>5.0023905E7</v>
      </c>
      <c r="B726" s="40" t="s">
        <v>2290</v>
      </c>
      <c r="C726" s="43" t="s">
        <v>2291</v>
      </c>
      <c r="D726" s="45" t="s">
        <v>202</v>
      </c>
      <c r="E726" s="50">
        <v>0.31182795698924726</v>
      </c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35">
        <v>5.0023906E7</v>
      </c>
      <c r="B727" s="40" t="s">
        <v>2293</v>
      </c>
      <c r="C727" s="43" t="s">
        <v>2294</v>
      </c>
      <c r="D727" s="45" t="s">
        <v>202</v>
      </c>
      <c r="E727" s="50">
        <v>1.021505376344086</v>
      </c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35">
        <v>5.0023907E7</v>
      </c>
      <c r="B728" s="40" t="s">
        <v>2296</v>
      </c>
      <c r="C728" s="43" t="s">
        <v>2297</v>
      </c>
      <c r="D728" s="45" t="s">
        <v>202</v>
      </c>
      <c r="E728" s="50">
        <v>1.3655913978494623</v>
      </c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35">
        <v>5.0023908E7</v>
      </c>
      <c r="B729" s="40" t="s">
        <v>2298</v>
      </c>
      <c r="C729" s="43" t="s">
        <v>2299</v>
      </c>
      <c r="D729" s="45" t="s">
        <v>202</v>
      </c>
      <c r="E729" s="50">
        <v>0.5161290322580645</v>
      </c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35">
        <v>5.0023909E7</v>
      </c>
      <c r="B730" s="40" t="s">
        <v>2301</v>
      </c>
      <c r="C730" s="43" t="s">
        <v>2302</v>
      </c>
      <c r="D730" s="45" t="s">
        <v>202</v>
      </c>
      <c r="E730" s="50">
        <v>0.5806451612903226</v>
      </c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35">
        <v>5.002391E7</v>
      </c>
      <c r="B731" s="40" t="s">
        <v>2304</v>
      </c>
      <c r="C731" s="43" t="s">
        <v>2305</v>
      </c>
      <c r="D731" s="45" t="s">
        <v>202</v>
      </c>
      <c r="E731" s="50">
        <v>0.7634408602150536</v>
      </c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35">
        <v>5.0023911E7</v>
      </c>
      <c r="B732" s="40" t="s">
        <v>2307</v>
      </c>
      <c r="C732" s="43" t="s">
        <v>2308</v>
      </c>
      <c r="D732" s="45" t="s">
        <v>202</v>
      </c>
      <c r="E732" s="50">
        <v>0.16129032258064516</v>
      </c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35">
        <v>5.0023912E7</v>
      </c>
      <c r="B733" s="40" t="s">
        <v>2310</v>
      </c>
      <c r="C733" s="43" t="s">
        <v>2311</v>
      </c>
      <c r="D733" s="45" t="s">
        <v>202</v>
      </c>
      <c r="E733" s="50">
        <v>0.2043010752688172</v>
      </c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35">
        <v>5.0023913E7</v>
      </c>
      <c r="B734" s="40" t="s">
        <v>2313</v>
      </c>
      <c r="C734" s="129" t="s">
        <v>2314</v>
      </c>
      <c r="D734" s="45" t="s">
        <v>202</v>
      </c>
      <c r="E734" s="50">
        <v>0.12903225806451613</v>
      </c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35">
        <v>5.0023914E7</v>
      </c>
      <c r="B735" s="40" t="s">
        <v>2317</v>
      </c>
      <c r="C735" s="129" t="s">
        <v>2318</v>
      </c>
      <c r="D735" s="45" t="s">
        <v>202</v>
      </c>
      <c r="E735" s="50">
        <v>0.13978494623655913</v>
      </c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35">
        <v>5.0023915E7</v>
      </c>
      <c r="B736" s="40" t="s">
        <v>2320</v>
      </c>
      <c r="C736" s="43" t="s">
        <v>2321</v>
      </c>
      <c r="D736" s="45" t="s">
        <v>202</v>
      </c>
      <c r="E736" s="50">
        <v>0.16129032258064516</v>
      </c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35">
        <v>5.0023916E7</v>
      </c>
      <c r="B737" s="40" t="s">
        <v>2324</v>
      </c>
      <c r="C737" s="43" t="s">
        <v>2325</v>
      </c>
      <c r="D737" s="45" t="s">
        <v>202</v>
      </c>
      <c r="E737" s="50">
        <v>0.6774193548387096</v>
      </c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35">
        <v>5.0023917E7</v>
      </c>
      <c r="B738" s="40" t="s">
        <v>2326</v>
      </c>
      <c r="C738" s="43" t="s">
        <v>2327</v>
      </c>
      <c r="D738" s="45" t="s">
        <v>202</v>
      </c>
      <c r="E738" s="50">
        <v>0.8602150537634409</v>
      </c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35">
        <v>5.0023918E7</v>
      </c>
      <c r="B739" s="40" t="s">
        <v>2329</v>
      </c>
      <c r="C739" s="43" t="s">
        <v>2330</v>
      </c>
      <c r="D739" s="45" t="s">
        <v>202</v>
      </c>
      <c r="E739" s="50">
        <v>1.021505376344086</v>
      </c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35">
        <v>5.0023919E7</v>
      </c>
      <c r="B740" s="40" t="s">
        <v>2332</v>
      </c>
      <c r="C740" s="43" t="s">
        <v>2333</v>
      </c>
      <c r="D740" s="45" t="s">
        <v>202</v>
      </c>
      <c r="E740" s="50">
        <v>0.17204301075268816</v>
      </c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35">
        <v>5.002392E7</v>
      </c>
      <c r="B741" s="40" t="s">
        <v>2334</v>
      </c>
      <c r="C741" s="43" t="s">
        <v>2335</v>
      </c>
      <c r="D741" s="45" t="s">
        <v>202</v>
      </c>
      <c r="E741" s="50">
        <v>0.21505376344086022</v>
      </c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35">
        <v>5.0023921E7</v>
      </c>
      <c r="B742" s="40" t="s">
        <v>2337</v>
      </c>
      <c r="C742" s="129" t="s">
        <v>2338</v>
      </c>
      <c r="D742" s="45" t="s">
        <v>202</v>
      </c>
      <c r="E742" s="50">
        <v>0.3010752688172043</v>
      </c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35">
        <v>5.0023922E7</v>
      </c>
      <c r="B743" s="40" t="s">
        <v>2340</v>
      </c>
      <c r="C743" s="129" t="s">
        <v>2341</v>
      </c>
      <c r="D743" s="45" t="s">
        <v>17</v>
      </c>
      <c r="E743" s="50">
        <v>19.494623655913976</v>
      </c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35">
        <v>5.0023923E7</v>
      </c>
      <c r="B744" s="40" t="s">
        <v>2343</v>
      </c>
      <c r="C744" s="43" t="s">
        <v>2344</v>
      </c>
      <c r="D744" s="45" t="s">
        <v>17</v>
      </c>
      <c r="E744" s="50">
        <v>24.49462365591398</v>
      </c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35">
        <v>5.0023924E7</v>
      </c>
      <c r="B745" s="40" t="s">
        <v>2346</v>
      </c>
      <c r="C745" s="43" t="s">
        <v>2347</v>
      </c>
      <c r="D745" s="45" t="s">
        <v>17</v>
      </c>
      <c r="E745" s="50">
        <v>32.096774193548384</v>
      </c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35">
        <v>5.0023925E7</v>
      </c>
      <c r="B746" s="40" t="s">
        <v>2350</v>
      </c>
      <c r="C746" s="43" t="s">
        <v>2351</v>
      </c>
      <c r="D746" s="45" t="s">
        <v>17</v>
      </c>
      <c r="E746" s="50">
        <v>41.3010752688172</v>
      </c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35">
        <v>5.0023926E7</v>
      </c>
      <c r="B747" s="40" t="s">
        <v>2353</v>
      </c>
      <c r="C747" s="43" t="s">
        <v>2354</v>
      </c>
      <c r="D747" s="45" t="s">
        <v>17</v>
      </c>
      <c r="E747" s="50">
        <v>64.90322580645162</v>
      </c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35">
        <v>5.0023927E7</v>
      </c>
      <c r="B748" s="40" t="s">
        <v>2356</v>
      </c>
      <c r="C748" s="129" t="s">
        <v>2357</v>
      </c>
      <c r="D748" s="45" t="s">
        <v>17</v>
      </c>
      <c r="E748" s="50">
        <v>3.3978494623655915</v>
      </c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35">
        <v>5.0023928E7</v>
      </c>
      <c r="B749" s="40" t="s">
        <v>2359</v>
      </c>
      <c r="C749" s="43" t="s">
        <v>2360</v>
      </c>
      <c r="D749" s="45" t="s">
        <v>17</v>
      </c>
      <c r="E749" s="50">
        <v>6.795698924731183</v>
      </c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35">
        <v>5.0023929E7</v>
      </c>
      <c r="B750" s="40" t="s">
        <v>2361</v>
      </c>
      <c r="C750" s="43" t="s">
        <v>2362</v>
      </c>
      <c r="D750" s="45" t="s">
        <v>17</v>
      </c>
      <c r="E750" s="50">
        <v>12.602150537634408</v>
      </c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35">
        <v>5.002393E7</v>
      </c>
      <c r="B751" s="40" t="s">
        <v>2364</v>
      </c>
      <c r="C751" s="43" t="s">
        <v>2365</v>
      </c>
      <c r="D751" s="45" t="s">
        <v>17</v>
      </c>
      <c r="E751" s="50">
        <v>8.999999999999998</v>
      </c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35">
        <v>5.0023931E7</v>
      </c>
      <c r="B752" s="40" t="s">
        <v>2367</v>
      </c>
      <c r="C752" s="43" t="s">
        <v>2368</v>
      </c>
      <c r="D752" s="45" t="s">
        <v>17</v>
      </c>
      <c r="E752" s="50">
        <v>9.795698924731182</v>
      </c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35">
        <v>5.0023932E7</v>
      </c>
      <c r="B753" s="40" t="s">
        <v>2369</v>
      </c>
      <c r="C753" s="43" t="s">
        <v>2370</v>
      </c>
      <c r="D753" s="45" t="s">
        <v>17</v>
      </c>
      <c r="E753" s="50">
        <v>1.3548387096774193</v>
      </c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35">
        <v>5.0023933E7</v>
      </c>
      <c r="B754" s="40" t="s">
        <v>2372</v>
      </c>
      <c r="C754" s="43" t="s">
        <v>2373</v>
      </c>
      <c r="D754" s="45" t="s">
        <v>17</v>
      </c>
      <c r="E754" s="50">
        <v>0.5161290322580645</v>
      </c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35">
        <v>5.0023934E7</v>
      </c>
      <c r="B755" s="40" t="s">
        <v>2374</v>
      </c>
      <c r="C755" s="43" t="s">
        <v>2375</v>
      </c>
      <c r="D755" s="45" t="s">
        <v>17</v>
      </c>
      <c r="E755" s="50">
        <v>1.6989247311827957</v>
      </c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35">
        <v>5.0023935E7</v>
      </c>
      <c r="B756" s="40" t="s">
        <v>2376</v>
      </c>
      <c r="C756" s="43" t="s">
        <v>2377</v>
      </c>
      <c r="D756" s="45" t="s">
        <v>17</v>
      </c>
      <c r="E756" s="50">
        <v>2.5483870967741935</v>
      </c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35">
        <v>5.0023787E7</v>
      </c>
      <c r="B757" s="40" t="s">
        <v>2378</v>
      </c>
      <c r="C757" s="43" t="s">
        <v>2379</v>
      </c>
      <c r="D757" s="45" t="s">
        <v>17</v>
      </c>
      <c r="E757" s="50">
        <v>598.0967741935484</v>
      </c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35">
        <v>5.0023936E7</v>
      </c>
      <c r="B758" s="40" t="s">
        <v>2380</v>
      </c>
      <c r="C758" s="43" t="s">
        <v>2381</v>
      </c>
      <c r="D758" s="45" t="s">
        <v>17</v>
      </c>
      <c r="E758" s="50">
        <v>72.69892473118279</v>
      </c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35">
        <v>5.0023937E7</v>
      </c>
      <c r="B759" s="40" t="s">
        <v>2382</v>
      </c>
      <c r="C759" s="43" t="s">
        <v>2383</v>
      </c>
      <c r="D759" s="45" t="s">
        <v>17</v>
      </c>
      <c r="E759" s="50">
        <v>35.39784946236559</v>
      </c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35">
        <v>5.0023938E7</v>
      </c>
      <c r="B760" s="40" t="s">
        <v>2384</v>
      </c>
      <c r="C760" s="43" t="s">
        <v>2385</v>
      </c>
      <c r="D760" s="45" t="s">
        <v>17</v>
      </c>
      <c r="E760" s="50">
        <v>114.3010752688172</v>
      </c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35">
        <v>5.0023939E7</v>
      </c>
      <c r="B761" s="40" t="s">
        <v>2386</v>
      </c>
      <c r="C761" s="43" t="s">
        <v>2387</v>
      </c>
      <c r="D761" s="45" t="s">
        <v>17</v>
      </c>
      <c r="E761" s="50">
        <v>5.795698924731182</v>
      </c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35">
        <v>5.002394E7</v>
      </c>
      <c r="B762" s="40" t="s">
        <v>2388</v>
      </c>
      <c r="C762" s="43" t="s">
        <v>2389</v>
      </c>
      <c r="D762" s="45" t="s">
        <v>17</v>
      </c>
      <c r="E762" s="50">
        <v>6.999999999999999</v>
      </c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35">
        <v>5.0023987E7</v>
      </c>
      <c r="B763" s="40" t="s">
        <v>2390</v>
      </c>
      <c r="C763" s="43" t="s">
        <v>2391</v>
      </c>
      <c r="D763" s="45" t="s">
        <v>17</v>
      </c>
      <c r="E763" s="50">
        <v>26.301075268817204</v>
      </c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35">
        <v>5.0023988E7</v>
      </c>
      <c r="B764" s="40" t="s">
        <v>2392</v>
      </c>
      <c r="C764" s="43" t="s">
        <v>2393</v>
      </c>
      <c r="D764" s="45" t="s">
        <v>17</v>
      </c>
      <c r="E764" s="50">
        <v>41.0</v>
      </c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35">
        <v>5.0023941E7</v>
      </c>
      <c r="B765" s="40" t="s">
        <v>2394</v>
      </c>
      <c r="C765" s="43" t="s">
        <v>2395</v>
      </c>
      <c r="D765" s="45" t="s">
        <v>17</v>
      </c>
      <c r="E765" s="50">
        <v>549.0</v>
      </c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35">
        <v>5.0023942E7</v>
      </c>
      <c r="B766" s="40" t="s">
        <v>2396</v>
      </c>
      <c r="C766" s="43" t="s">
        <v>2397</v>
      </c>
      <c r="D766" s="45" t="s">
        <v>17</v>
      </c>
      <c r="E766" s="50">
        <v>526.6021505376344</v>
      </c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35">
        <v>5.0023943E7</v>
      </c>
      <c r="B767" s="40" t="s">
        <v>2398</v>
      </c>
      <c r="C767" s="43" t="s">
        <v>2399</v>
      </c>
      <c r="D767" s="45" t="s">
        <v>17</v>
      </c>
      <c r="E767" s="50">
        <v>507.79569892473114</v>
      </c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35">
        <v>5.0023944E7</v>
      </c>
      <c r="B768" s="40" t="s">
        <v>2400</v>
      </c>
      <c r="C768" s="43" t="s">
        <v>2401</v>
      </c>
      <c r="D768" s="45" t="s">
        <v>17</v>
      </c>
      <c r="E768" s="50">
        <v>406.79569892473114</v>
      </c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35">
        <v>5.0023945E7</v>
      </c>
      <c r="B769" s="40" t="s">
        <v>2402</v>
      </c>
      <c r="C769" s="43" t="s">
        <v>2403</v>
      </c>
      <c r="D769" s="45" t="s">
        <v>17</v>
      </c>
      <c r="E769" s="50">
        <v>390.6021505376344</v>
      </c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35">
        <v>5.0023946E7</v>
      </c>
      <c r="B770" s="40" t="s">
        <v>2404</v>
      </c>
      <c r="C770" s="43" t="s">
        <v>2405</v>
      </c>
      <c r="D770" s="45" t="s">
        <v>17</v>
      </c>
      <c r="E770" s="50">
        <v>337.30107526881716</v>
      </c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35">
        <v>5.0023947E7</v>
      </c>
      <c r="B771" s="40" t="s">
        <v>2406</v>
      </c>
      <c r="C771" s="43" t="s">
        <v>2407</v>
      </c>
      <c r="D771" s="45" t="s">
        <v>17</v>
      </c>
      <c r="E771" s="50">
        <v>248.09677419354836</v>
      </c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35">
        <v>5.0023948E7</v>
      </c>
      <c r="B772" s="40" t="s">
        <v>2408</v>
      </c>
      <c r="C772" s="43" t="s">
        <v>2409</v>
      </c>
      <c r="D772" s="45" t="s">
        <v>17</v>
      </c>
      <c r="E772" s="50">
        <v>83.39784946236558</v>
      </c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35">
        <v>5.0023949E7</v>
      </c>
      <c r="B773" s="40" t="s">
        <v>2410</v>
      </c>
      <c r="C773" s="43" t="s">
        <v>2411</v>
      </c>
      <c r="D773" s="45" t="s">
        <v>17</v>
      </c>
      <c r="E773" s="50">
        <v>595.6989247311827</v>
      </c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35">
        <v>5.002395E7</v>
      </c>
      <c r="B774" s="40" t="s">
        <v>2412</v>
      </c>
      <c r="C774" s="43" t="s">
        <v>2413</v>
      </c>
      <c r="D774" s="45" t="s">
        <v>17</v>
      </c>
      <c r="E774" s="50">
        <v>580.3978494623656</v>
      </c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35">
        <v>5.0023951E7</v>
      </c>
      <c r="B775" s="40" t="s">
        <v>2414</v>
      </c>
      <c r="C775" s="43" t="s">
        <v>2415</v>
      </c>
      <c r="D775" s="45" t="s">
        <v>17</v>
      </c>
      <c r="E775" s="50">
        <v>572.3010752688172</v>
      </c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35">
        <v>5.0023952E7</v>
      </c>
      <c r="B776" s="40" t="s">
        <v>2416</v>
      </c>
      <c r="C776" s="43" t="s">
        <v>2417</v>
      </c>
      <c r="D776" s="45" t="s">
        <v>17</v>
      </c>
      <c r="E776" s="50">
        <v>460.09677419354836</v>
      </c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35">
        <v>5.0023953E7</v>
      </c>
      <c r="B777" s="40" t="s">
        <v>2418</v>
      </c>
      <c r="C777" s="43" t="s">
        <v>2419</v>
      </c>
      <c r="D777" s="45" t="s">
        <v>17</v>
      </c>
      <c r="E777" s="50">
        <v>416.69892473118273</v>
      </c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35">
        <v>5.0023954E7</v>
      </c>
      <c r="B778" s="40" t="s">
        <v>2420</v>
      </c>
      <c r="C778" s="43" t="s">
        <v>2421</v>
      </c>
      <c r="D778" s="45" t="s">
        <v>17</v>
      </c>
      <c r="E778" s="50">
        <v>327.39784946236557</v>
      </c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35">
        <v>5.0023955E7</v>
      </c>
      <c r="B779" s="40" t="s">
        <v>2422</v>
      </c>
      <c r="C779" s="43" t="s">
        <v>2423</v>
      </c>
      <c r="D779" s="45" t="s">
        <v>17</v>
      </c>
      <c r="E779" s="50">
        <v>385.2043010752688</v>
      </c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35">
        <v>5.0023956E7</v>
      </c>
      <c r="B780" s="40" t="s">
        <v>2424</v>
      </c>
      <c r="C780" s="43" t="s">
        <v>2425</v>
      </c>
      <c r="D780" s="45" t="s">
        <v>17</v>
      </c>
      <c r="E780" s="50">
        <v>490.2043010752688</v>
      </c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35">
        <v>5.0023957E7</v>
      </c>
      <c r="B781" s="40" t="s">
        <v>2426</v>
      </c>
      <c r="C781" s="43" t="s">
        <v>2427</v>
      </c>
      <c r="D781" s="45" t="s">
        <v>17</v>
      </c>
      <c r="E781" s="50">
        <v>541.2043010752687</v>
      </c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35">
        <v>5.0023958E7</v>
      </c>
      <c r="B782" s="40" t="s">
        <v>2428</v>
      </c>
      <c r="C782" s="43" t="s">
        <v>2429</v>
      </c>
      <c r="D782" s="45" t="s">
        <v>17</v>
      </c>
      <c r="E782" s="50">
        <v>673.3010752688172</v>
      </c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35">
        <v>5.0023959E7</v>
      </c>
      <c r="B783" s="40" t="s">
        <v>2430</v>
      </c>
      <c r="C783" s="43" t="s">
        <v>2431</v>
      </c>
      <c r="D783" s="45" t="s">
        <v>17</v>
      </c>
      <c r="E783" s="50">
        <v>738.7956989247311</v>
      </c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35">
        <v>5.002396E7</v>
      </c>
      <c r="B784" s="40" t="s">
        <v>2432</v>
      </c>
      <c r="C784" s="43" t="s">
        <v>2433</v>
      </c>
      <c r="D784" s="45" t="s">
        <v>17</v>
      </c>
      <c r="E784" s="50">
        <v>455.20430107526875</v>
      </c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35">
        <v>5.0023961E7</v>
      </c>
      <c r="B785" s="40" t="s">
        <v>2434</v>
      </c>
      <c r="C785" s="43" t="s">
        <v>2435</v>
      </c>
      <c r="D785" s="45" t="s">
        <v>17</v>
      </c>
      <c r="E785" s="50">
        <v>560.2043010752687</v>
      </c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35">
        <v>5.0023962E7</v>
      </c>
      <c r="B786" s="40" t="s">
        <v>2436</v>
      </c>
      <c r="C786" s="43" t="s">
        <v>2437</v>
      </c>
      <c r="D786" s="45" t="s">
        <v>17</v>
      </c>
      <c r="E786" s="50">
        <v>561.6989247311827</v>
      </c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35">
        <v>5.0023963E7</v>
      </c>
      <c r="B787" s="40" t="s">
        <v>2438</v>
      </c>
      <c r="C787" s="43" t="s">
        <v>2439</v>
      </c>
      <c r="D787" s="45" t="s">
        <v>17</v>
      </c>
      <c r="E787" s="50">
        <v>692.2043010752687</v>
      </c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35">
        <v>5.0023964E7</v>
      </c>
      <c r="B788" s="40" t="s">
        <v>2440</v>
      </c>
      <c r="C788" s="43" t="s">
        <v>2441</v>
      </c>
      <c r="D788" s="45" t="s">
        <v>17</v>
      </c>
      <c r="E788" s="50">
        <v>758.0</v>
      </c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35">
        <v>5.0023965E7</v>
      </c>
      <c r="B789" s="40" t="s">
        <v>2442</v>
      </c>
      <c r="C789" s="43" t="s">
        <v>2443</v>
      </c>
      <c r="D789" s="45" t="s">
        <v>17</v>
      </c>
      <c r="E789" s="50">
        <v>654.6989247311827</v>
      </c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35">
        <v>5.0023966E7</v>
      </c>
      <c r="B790" s="40" t="s">
        <v>2444</v>
      </c>
      <c r="C790" s="43" t="s">
        <v>2445</v>
      </c>
      <c r="D790" s="45" t="s">
        <v>17</v>
      </c>
      <c r="E790" s="50">
        <v>536.3978494623656</v>
      </c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35">
        <v>5.0023967E7</v>
      </c>
      <c r="B791" s="40" t="s">
        <v>2446</v>
      </c>
      <c r="C791" s="43" t="s">
        <v>2447</v>
      </c>
      <c r="D791" s="45" t="s">
        <v>17</v>
      </c>
      <c r="E791" s="50">
        <v>467.4946236559139</v>
      </c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35">
        <v>5.0023968E7</v>
      </c>
      <c r="B792" s="40" t="s">
        <v>2448</v>
      </c>
      <c r="C792" s="43" t="s">
        <v>2449</v>
      </c>
      <c r="D792" s="45" t="s">
        <v>17</v>
      </c>
      <c r="E792" s="50">
        <v>338.6021505376344</v>
      </c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35">
        <v>5.0023969E7</v>
      </c>
      <c r="B793" s="40" t="s">
        <v>2450</v>
      </c>
      <c r="C793" s="43" t="s">
        <v>2451</v>
      </c>
      <c r="D793" s="45" t="s">
        <v>17</v>
      </c>
      <c r="E793" s="50">
        <v>277.7956989247312</v>
      </c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35">
        <v>5.002397E7</v>
      </c>
      <c r="B794" s="40" t="s">
        <v>2452</v>
      </c>
      <c r="C794" s="43" t="s">
        <v>2453</v>
      </c>
      <c r="D794" s="45" t="s">
        <v>17</v>
      </c>
      <c r="E794" s="50">
        <v>198.39784946236557</v>
      </c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35">
        <v>5.0023971E7</v>
      </c>
      <c r="B795" s="40" t="s">
        <v>2454</v>
      </c>
      <c r="C795" s="43" t="s">
        <v>2455</v>
      </c>
      <c r="D795" s="45" t="s">
        <v>17</v>
      </c>
      <c r="E795" s="50">
        <v>100.20430107526882</v>
      </c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35">
        <v>5.0023972E7</v>
      </c>
      <c r="B796" s="40" t="s">
        <v>2456</v>
      </c>
      <c r="C796" s="43" t="s">
        <v>2457</v>
      </c>
      <c r="D796" s="45" t="s">
        <v>17</v>
      </c>
      <c r="E796" s="50">
        <v>9.397849462365592</v>
      </c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35">
        <v>5.0023973E7</v>
      </c>
      <c r="B797" s="40" t="s">
        <v>2458</v>
      </c>
      <c r="C797" s="43" t="s">
        <v>2459</v>
      </c>
      <c r="D797" s="45" t="s">
        <v>17</v>
      </c>
      <c r="E797" s="50">
        <v>0.7419354838709676</v>
      </c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35">
        <v>5.0023974E7</v>
      </c>
      <c r="B798" s="40" t="s">
        <v>2460</v>
      </c>
      <c r="C798" s="43" t="s">
        <v>2461</v>
      </c>
      <c r="D798" s="45" t="s">
        <v>17</v>
      </c>
      <c r="E798" s="50">
        <v>102.2043010752688</v>
      </c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35">
        <v>5.0023975E7</v>
      </c>
      <c r="B799" s="40" t="s">
        <v>2462</v>
      </c>
      <c r="C799" s="43" t="s">
        <v>2463</v>
      </c>
      <c r="D799" s="45" t="s">
        <v>17</v>
      </c>
      <c r="E799" s="50">
        <v>5.301075268817204</v>
      </c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35">
        <v>5.0023976E7</v>
      </c>
      <c r="B800" s="40" t="s">
        <v>2464</v>
      </c>
      <c r="C800" s="43" t="s">
        <v>2465</v>
      </c>
      <c r="D800" s="45" t="s">
        <v>202</v>
      </c>
      <c r="E800" s="50">
        <v>0.5268817204301075</v>
      </c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35">
        <v>5.0023977E7</v>
      </c>
      <c r="B801" s="40" t="s">
        <v>2466</v>
      </c>
      <c r="C801" s="43" t="s">
        <v>2467</v>
      </c>
      <c r="D801" s="45" t="s">
        <v>202</v>
      </c>
      <c r="E801" s="50">
        <v>0.7419354838709676</v>
      </c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35">
        <v>5.0023978E7</v>
      </c>
      <c r="B802" s="40" t="s">
        <v>2468</v>
      </c>
      <c r="C802" s="43" t="s">
        <v>2469</v>
      </c>
      <c r="D802" s="45" t="s">
        <v>202</v>
      </c>
      <c r="E802" s="50">
        <v>1.6021505376344085</v>
      </c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35">
        <v>5.0023979E7</v>
      </c>
      <c r="B803" s="40" t="s">
        <v>2470</v>
      </c>
      <c r="C803" s="43" t="s">
        <v>2471</v>
      </c>
      <c r="D803" s="45" t="s">
        <v>202</v>
      </c>
      <c r="E803" s="50">
        <v>0.5268817204301075</v>
      </c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35">
        <v>5.002398E7</v>
      </c>
      <c r="B804" s="40" t="s">
        <v>2472</v>
      </c>
      <c r="C804" s="43" t="s">
        <v>2473</v>
      </c>
      <c r="D804" s="45" t="s">
        <v>202</v>
      </c>
      <c r="E804" s="50">
        <v>1.1720430107526882</v>
      </c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35">
        <v>5.0023981E7</v>
      </c>
      <c r="B805" s="40" t="s">
        <v>2474</v>
      </c>
      <c r="C805" s="43" t="s">
        <v>2475</v>
      </c>
      <c r="D805" s="45" t="s">
        <v>202</v>
      </c>
      <c r="E805" s="50">
        <v>0.3225806451612903</v>
      </c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35">
        <v>5.0023777E7</v>
      </c>
      <c r="B806" s="40" t="s">
        <v>2476</v>
      </c>
      <c r="C806" s="43" t="s">
        <v>2477</v>
      </c>
      <c r="D806" s="45" t="s">
        <v>202</v>
      </c>
      <c r="E806" s="50">
        <v>0.7741935483870968</v>
      </c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35">
        <v>5.0023778E7</v>
      </c>
      <c r="B807" s="40" t="s">
        <v>2478</v>
      </c>
      <c r="C807" s="43" t="s">
        <v>2479</v>
      </c>
      <c r="D807" s="45" t="s">
        <v>202</v>
      </c>
      <c r="E807" s="50">
        <v>1.075268817204301</v>
      </c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35">
        <v>5.0023779E7</v>
      </c>
      <c r="B808" s="40" t="s">
        <v>2480</v>
      </c>
      <c r="C808" s="43" t="s">
        <v>2481</v>
      </c>
      <c r="D808" s="45" t="s">
        <v>202</v>
      </c>
      <c r="E808" s="50">
        <v>0.21505376344086022</v>
      </c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35">
        <v>5.002378E7</v>
      </c>
      <c r="B809" s="40" t="s">
        <v>2482</v>
      </c>
      <c r="C809" s="43" t="s">
        <v>2483</v>
      </c>
      <c r="D809" s="45" t="s">
        <v>202</v>
      </c>
      <c r="E809" s="50">
        <v>0.8494623655913979</v>
      </c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35">
        <v>5.0023781E7</v>
      </c>
      <c r="B810" s="40" t="s">
        <v>2484</v>
      </c>
      <c r="C810" s="43" t="s">
        <v>2485</v>
      </c>
      <c r="D810" s="45" t="s">
        <v>202</v>
      </c>
      <c r="E810" s="50">
        <v>0.6989247311827956</v>
      </c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35">
        <v>5.0023782E7</v>
      </c>
      <c r="B811" s="40" t="s">
        <v>2486</v>
      </c>
      <c r="C811" s="43" t="s">
        <v>2487</v>
      </c>
      <c r="D811" s="45" t="s">
        <v>202</v>
      </c>
      <c r="E811" s="50">
        <v>1.075268817204301</v>
      </c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35">
        <v>5.0023982E7</v>
      </c>
      <c r="B812" s="40" t="s">
        <v>2488</v>
      </c>
      <c r="C812" s="43" t="s">
        <v>2489</v>
      </c>
      <c r="D812" s="45" t="s">
        <v>215</v>
      </c>
      <c r="E812" s="50">
        <v>262.5</v>
      </c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35">
        <v>5.0023983E7</v>
      </c>
      <c r="B813" s="40" t="s">
        <v>2490</v>
      </c>
      <c r="C813" s="43" t="s">
        <v>2491</v>
      </c>
      <c r="D813" s="45" t="s">
        <v>215</v>
      </c>
      <c r="E813" s="50">
        <v>262.5</v>
      </c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35">
        <v>5.0023984E7</v>
      </c>
      <c r="B814" s="40" t="s">
        <v>2492</v>
      </c>
      <c r="C814" s="43" t="s">
        <v>2493</v>
      </c>
      <c r="D814" s="45" t="s">
        <v>215</v>
      </c>
      <c r="E814" s="50">
        <v>63.0</v>
      </c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35">
        <v>5.0023985E7</v>
      </c>
      <c r="B815" s="40" t="s">
        <v>2494</v>
      </c>
      <c r="C815" s="43" t="s">
        <v>2495</v>
      </c>
      <c r="D815" s="45" t="s">
        <v>215</v>
      </c>
      <c r="E815" s="50">
        <v>105.0</v>
      </c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35">
        <v>5.0023986E7</v>
      </c>
      <c r="B816" s="40" t="s">
        <v>2496</v>
      </c>
      <c r="C816" s="43" t="s">
        <v>2497</v>
      </c>
      <c r="D816" s="45" t="s">
        <v>215</v>
      </c>
      <c r="E816" s="50">
        <v>42.0</v>
      </c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35">
        <v>5.002433E7</v>
      </c>
      <c r="B817" s="40" t="s">
        <v>2498</v>
      </c>
      <c r="C817" s="43" t="s">
        <v>2499</v>
      </c>
      <c r="D817" s="45" t="s">
        <v>215</v>
      </c>
      <c r="E817" s="50">
        <v>1.075268817204301</v>
      </c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35">
        <v>5.002383E7</v>
      </c>
      <c r="B818" s="40" t="s">
        <v>2500</v>
      </c>
      <c r="C818" s="43" t="s">
        <v>2501</v>
      </c>
      <c r="D818" s="45" t="s">
        <v>17</v>
      </c>
      <c r="E818" s="50">
        <v>26.698924731182792</v>
      </c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35">
        <v>5.0023831E7</v>
      </c>
      <c r="B819" s="40" t="s">
        <v>2502</v>
      </c>
      <c r="C819" s="43" t="s">
        <v>2503</v>
      </c>
      <c r="D819" s="45" t="s">
        <v>17</v>
      </c>
      <c r="E819" s="50">
        <v>38.39784946236559</v>
      </c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35">
        <v>5.0023832E7</v>
      </c>
      <c r="B820" s="40" t="s">
        <v>2504</v>
      </c>
      <c r="C820" s="43" t="s">
        <v>2505</v>
      </c>
      <c r="D820" s="45" t="s">
        <v>17</v>
      </c>
      <c r="E820" s="50">
        <v>72.69892473118279</v>
      </c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35">
        <v>5.0023833E7</v>
      </c>
      <c r="B821" s="40" t="s">
        <v>2506</v>
      </c>
      <c r="C821" s="43" t="s">
        <v>2507</v>
      </c>
      <c r="D821" s="45" t="s">
        <v>17</v>
      </c>
      <c r="E821" s="50">
        <v>117.3978494623656</v>
      </c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30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30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30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30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30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30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30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30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30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30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30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30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30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30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30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30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30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30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30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30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30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30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30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30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30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30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30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30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30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30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30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30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30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30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30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30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30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30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30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30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30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30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30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30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30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30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30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30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30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30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30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30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30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30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30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30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30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30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30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30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30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30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30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30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30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30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30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30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30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30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30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30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30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30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30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30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30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30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30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30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30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30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30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30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30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30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30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30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30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30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30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30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30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30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30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30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30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30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30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30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30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30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30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30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30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30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30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30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30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30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30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30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30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30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30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30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30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30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30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30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30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30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30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30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30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30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30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30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30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30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30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30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30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30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30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30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30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30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30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30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30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30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30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30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30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30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30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30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30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30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30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30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30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30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30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30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30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30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30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30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30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30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30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30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30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30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30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30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30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30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30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30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30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30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30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30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30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30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30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ataValidations>
    <dataValidation type="custom" allowBlank="1" showErrorMessage="1" sqref="C1:D1">
      <formula1>LTE(LEN(C1),(40))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57"/>
    <col customWidth="1" min="6" max="25" width="9.14"/>
  </cols>
  <sheetData>
    <row r="1" ht="22.5" customHeight="1">
      <c r="A1" s="4" t="s">
        <v>3</v>
      </c>
      <c r="B1" s="9" t="s">
        <v>0</v>
      </c>
      <c r="C1" s="9" t="s">
        <v>11</v>
      </c>
      <c r="D1" s="21" t="s">
        <v>8</v>
      </c>
      <c r="E1" s="24" t="s">
        <v>13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6" t="str">
        <f>IF('ΦΥΛΛΟ ΑΠΟΛΟΓΙΣΜΟΥ'!G6&gt;0,'ΦΥΛΛΟ ΑΠΟΛΟΓΙΣΜΟΥ'!C6," ")</f>
        <v>1956.i</v>
      </c>
      <c r="B2" s="39">
        <f>IF('ΦΥΛΛΟ ΑΠΟΛΟΓΙΣΜΟΥ'!G6&gt;0,'ΦΥΛΛΟ ΑΠΟΛΟΓΙΣΜΟΥ'!B6," ")</f>
        <v>50040843</v>
      </c>
      <c r="C2" s="41">
        <f>IF('ΦΥΛΛΟ ΑΠΟΛΟΓΙΣΜΟΥ'!G6&gt;0,'ΦΥΛΛΟ ΑΠΟΛΟΓΙΣΜΟΥ'!G6,0)</f>
        <v>1</v>
      </c>
      <c r="D2" s="47">
        <f>'ΦΥΛΛΟ ΑΠΟΛΟΓΙΣΜΟΥ'!F6</f>
        <v>80</v>
      </c>
      <c r="E2" s="53">
        <f t="shared" ref="E2:E92" si="1">C2*D2</f>
        <v>80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6" t="str">
        <f>IF('ΦΥΛΛΟ ΑΠΟΛΟΓΙΣΜΟΥ'!G7&gt;0,'ΦΥΛΛΟ ΑΠΟΛΟΓΙΣΜΟΥ'!C7," ")</f>
        <v> </v>
      </c>
      <c r="B3" s="39" t="str">
        <f>IF('ΦΥΛΛΟ ΑΠΟΛΟΓΙΣΜΟΥ'!G7&gt;0,'ΦΥΛΛΟ ΑΠΟΛΟΓΙΣΜΟΥ'!B7," ")</f>
        <v> </v>
      </c>
      <c r="C3" s="41">
        <f>IF('ΦΥΛΛΟ ΑΠΟΛΟΓΙΣΜΟΥ'!G7&gt;0,'ΦΥΛΛΟ ΑΠΟΛΟΓΙΣΜΟΥ'!G7,0)</f>
        <v>0</v>
      </c>
      <c r="D3" s="47">
        <f>'ΦΥΛΛΟ ΑΠΟΛΟΓΙΣΜΟΥ'!F7</f>
        <v>50</v>
      </c>
      <c r="E3" s="53">
        <f t="shared" si="1"/>
        <v>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6" t="str">
        <f>IF('ΦΥΛΛΟ ΑΠΟΛΟΓΙΣΜΟΥ'!G8&gt;0,'ΦΥΛΛΟ ΑΠΟΛΟΓΙΣΜΟΥ'!C8," ")</f>
        <v> </v>
      </c>
      <c r="B4" s="39" t="str">
        <f>IF('ΦΥΛΛΟ ΑΠΟΛΟΓΙΣΜΟΥ'!G8&gt;0,'ΦΥΛΛΟ ΑΠΟΛΟΓΙΣΜΟΥ'!B8," ")</f>
        <v> </v>
      </c>
      <c r="C4" s="41">
        <f>IF('ΦΥΛΛΟ ΑΠΟΛΟΓΙΣΜΟΥ'!G8&gt;0,'ΦΥΛΛΟ ΑΠΟΛΟΓΙΣΜΟΥ'!G8,0)</f>
        <v>0</v>
      </c>
      <c r="D4" s="47">
        <f>'ΦΥΛΛΟ ΑΠΟΛΟΓΙΣΜΟΥ'!F8</f>
        <v>150</v>
      </c>
      <c r="E4" s="53">
        <f t="shared" si="1"/>
        <v>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6" t="str">
        <f>IF('ΦΥΛΛΟ ΑΠΟΛΟΓΙΣΜΟΥ'!G9&gt;0,'ΦΥΛΛΟ ΑΠΟΛΟΓΙΣΜΟΥ'!C9," ")</f>
        <v> </v>
      </c>
      <c r="B5" s="39" t="str">
        <f>IF('ΦΥΛΛΟ ΑΠΟΛΟΓΙΣΜΟΥ'!G9&gt;0,'ΦΥΛΛΟ ΑΠΟΛΟΓΙΣΜΟΥ'!B9," ")</f>
        <v> </v>
      </c>
      <c r="C5" s="41">
        <f>IF('ΦΥΛΛΟ ΑΠΟΛΟΓΙΣΜΟΥ'!G9&gt;0,'ΦΥΛΛΟ ΑΠΟΛΟΓΙΣΜΟΥ'!G9,0)</f>
        <v>0</v>
      </c>
      <c r="D5" s="47">
        <f>'ΦΥΛΛΟ ΑΠΟΛΟΓΙΣΜΟΥ'!F9</f>
        <v>250</v>
      </c>
      <c r="E5" s="53">
        <f t="shared" si="1"/>
        <v>0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36" t="str">
        <f>IF('ΦΥΛΛΟ ΑΠΟΛΟΓΙΣΜΟΥ'!G10&gt;0,'ΦΥΛΛΟ ΑΠΟΛΟΓΙΣΜΟΥ'!C10," ")</f>
        <v> </v>
      </c>
      <c r="B6" s="39" t="str">
        <f>IF('ΦΥΛΛΟ ΑΠΟΛΟΓΙΣΜΟΥ'!G10&gt;0,'ΦΥΛΛΟ ΑΠΟΛΟΓΙΣΜΟΥ'!B10," ")</f>
        <v> </v>
      </c>
      <c r="C6" s="41">
        <f>IF('ΦΥΛΛΟ ΑΠΟΛΟΓΙΣΜΟΥ'!G10&gt;0,'ΦΥΛΛΟ ΑΠΟΛΟΓΙΣΜΟΥ'!G10,0)</f>
        <v>0</v>
      </c>
      <c r="D6" s="47">
        <f>'ΦΥΛΛΟ ΑΠΟΛΟΓΙΣΜΟΥ'!F10</f>
        <v>150</v>
      </c>
      <c r="E6" s="53">
        <f t="shared" si="1"/>
        <v>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6" t="str">
        <f>IF('ΦΥΛΛΟ ΑΠΟΛΟΓΙΣΜΟΥ'!G11&gt;0,'ΦΥΛΛΟ ΑΠΟΛΟΓΙΣΜΟΥ'!C11," ")</f>
        <v> </v>
      </c>
      <c r="B7" s="39" t="str">
        <f>IF('ΦΥΛΛΟ ΑΠΟΛΟΓΙΣΜΟΥ'!G11&gt;0,'ΦΥΛΛΟ ΑΠΟΛΟΓΙΣΜΟΥ'!B11," ")</f>
        <v> </v>
      </c>
      <c r="C7" s="41">
        <f>IF('ΦΥΛΛΟ ΑΠΟΛΟΓΙΣΜΟΥ'!G11&gt;0,'ΦΥΛΛΟ ΑΠΟΛΟΓΙΣΜΟΥ'!G11,0)</f>
        <v>0</v>
      </c>
      <c r="D7" s="47">
        <f>'ΦΥΛΛΟ ΑΠΟΛΟΓΙΣΜΟΥ'!F11</f>
        <v>250</v>
      </c>
      <c r="E7" s="53">
        <f t="shared" si="1"/>
        <v>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36" t="str">
        <f>IF('ΦΥΛΛΟ ΑΠΟΛΟΓΙΣΜΟΥ'!G12&gt;0,'ΦΥΛΛΟ ΑΠΟΛΟΓΙΣΜΟΥ'!C12," ")</f>
        <v> </v>
      </c>
      <c r="B8" s="39" t="str">
        <f>IF('ΦΥΛΛΟ ΑΠΟΛΟΓΙΣΜΟΥ'!G12&gt;0,'ΦΥΛΛΟ ΑΠΟΛΟΓΙΣΜΟΥ'!B12," ")</f>
        <v> </v>
      </c>
      <c r="C8" s="41">
        <f>IF('ΦΥΛΛΟ ΑΠΟΛΟΓΙΣΜΟΥ'!G12&gt;0,'ΦΥΛΛΟ ΑΠΟΛΟΓΙΣΜΟΥ'!G12,0)</f>
        <v>0</v>
      </c>
      <c r="D8" s="47">
        <f>'ΦΥΛΛΟ ΑΠΟΛΟΓΙΣΜΟΥ'!F12</f>
        <v>350</v>
      </c>
      <c r="E8" s="53">
        <f t="shared" si="1"/>
        <v>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6" t="str">
        <f>IF('ΦΥΛΛΟ ΑΠΟΛΟΓΙΣΜΟΥ'!G13&gt;0,'ΦΥΛΛΟ ΑΠΟΛΟΓΙΣΜΟΥ'!C13," ")</f>
        <v> </v>
      </c>
      <c r="B9" s="39" t="str">
        <f>IF('ΦΥΛΛΟ ΑΠΟΛΟΓΙΣΜΟΥ'!G13&gt;0,'ΦΥΛΛΟ ΑΠΟΛΟΓΙΣΜΟΥ'!B13," ")</f>
        <v> </v>
      </c>
      <c r="C9" s="41">
        <f>IF('ΦΥΛΛΟ ΑΠΟΛΟΓΙΣΜΟΥ'!G13&gt;0,'ΦΥΛΛΟ ΑΠΟΛΟΓΙΣΜΟΥ'!G13,0)</f>
        <v>0</v>
      </c>
      <c r="D9" s="47">
        <f>'ΦΥΛΛΟ ΑΠΟΛΟΓΙΣΜΟΥ'!F13</f>
        <v>450</v>
      </c>
      <c r="E9" s="53">
        <f t="shared" si="1"/>
        <v>0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6" t="str">
        <f>IF('ΦΥΛΛΟ ΑΠΟΛΟΓΙΣΜΟΥ'!G14&gt;0,'ΦΥΛΛΟ ΑΠΟΛΟΓΙΣΜΟΥ'!C14," ")</f>
        <v> </v>
      </c>
      <c r="B10" s="39" t="str">
        <f>IF('ΦΥΛΛΟ ΑΠΟΛΟΓΙΣΜΟΥ'!G14&gt;0,'ΦΥΛΛΟ ΑΠΟΛΟΓΙΣΜΟΥ'!B14," ")</f>
        <v> </v>
      </c>
      <c r="C10" s="41">
        <f>IF('ΦΥΛΛΟ ΑΠΟΛΟΓΙΣΜΟΥ'!G14&gt;0,'ΦΥΛΛΟ ΑΠΟΛΟΓΙΣΜΟΥ'!G14,0)</f>
        <v>0</v>
      </c>
      <c r="D10" s="47">
        <f>'ΦΥΛΛΟ ΑΠΟΛΟΓΙΣΜΟΥ'!F14</f>
        <v>160</v>
      </c>
      <c r="E10" s="53">
        <f t="shared" si="1"/>
        <v>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36" t="str">
        <f>IF('ΦΥΛΛΟ ΑΠΟΛΟΓΙΣΜΟΥ'!G15&gt;0,'ΦΥΛΛΟ ΑΠΟΛΟΓΙΣΜΟΥ'!C15," ")</f>
        <v> </v>
      </c>
      <c r="B11" s="39" t="str">
        <f>IF('ΦΥΛΛΟ ΑΠΟΛΟΓΙΣΜΟΥ'!G15&gt;0,'ΦΥΛΛΟ ΑΠΟΛΟΓΙΣΜΟΥ'!B15," ")</f>
        <v> </v>
      </c>
      <c r="C11" s="41">
        <f>IF('ΦΥΛΛΟ ΑΠΟΛΟΓΙΣΜΟΥ'!G15&gt;0,'ΦΥΛΛΟ ΑΠΟΛΟΓΙΣΜΟΥ'!G15,0)</f>
        <v>0</v>
      </c>
      <c r="D11" s="47">
        <f>'ΦΥΛΛΟ ΑΠΟΛΟΓΙΣΜΟΥ'!F15</f>
        <v>270</v>
      </c>
      <c r="E11" s="53">
        <f t="shared" si="1"/>
        <v>0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36" t="str">
        <f>IF('ΦΥΛΛΟ ΑΠΟΛΟΓΙΣΜΟΥ'!G16&gt;0,'ΦΥΛΛΟ ΑΠΟΛΟΓΙΣΜΟΥ'!C16," ")</f>
        <v> </v>
      </c>
      <c r="B12" s="39" t="str">
        <f>IF('ΦΥΛΛΟ ΑΠΟΛΟΓΙΣΜΟΥ'!G16&gt;0,'ΦΥΛΛΟ ΑΠΟΛΟΓΙΣΜΟΥ'!B16," ")</f>
        <v> </v>
      </c>
      <c r="C12" s="41">
        <f>IF('ΦΥΛΛΟ ΑΠΟΛΟΓΙΣΜΟΥ'!G16&gt;0,'ΦΥΛΛΟ ΑΠΟΛΟΓΙΣΜΟΥ'!G16,0)</f>
        <v>0</v>
      </c>
      <c r="D12" s="47">
        <f>'ΦΥΛΛΟ ΑΠΟΛΟΓΙΣΜΟΥ'!F16</f>
        <v>380</v>
      </c>
      <c r="E12" s="53">
        <f t="shared" si="1"/>
        <v>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36" t="str">
        <f>IF('ΦΥΛΛΟ ΑΠΟΛΟΓΙΣΜΟΥ'!G17&gt;0,'ΦΥΛΛΟ ΑΠΟΛΟΓΙΣΜΟΥ'!C17," ")</f>
        <v>1965.VIII.</v>
      </c>
      <c r="B13" s="39">
        <f>IF('ΦΥΛΛΟ ΑΠΟΛΟΓΙΣΜΟΥ'!G17&gt;0,'ΦΥΛΛΟ ΑΠΟΛΟΓΙΣΜΟΥ'!B17," ")</f>
        <v>50040895</v>
      </c>
      <c r="C13" s="41">
        <f>IF('ΦΥΛΛΟ ΑΠΟΛΟΓΙΣΜΟΥ'!G17&gt;0,'ΦΥΛΛΟ ΑΠΟΛΟΓΙΣΜΟΥ'!G17,0)</f>
        <v>1</v>
      </c>
      <c r="D13" s="47">
        <f>'ΦΥΛΛΟ ΑΠΟΛΟΓΙΣΜΟΥ'!F17</f>
        <v>490</v>
      </c>
      <c r="E13" s="53">
        <f t="shared" si="1"/>
        <v>490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36" t="str">
        <f>IF('ΦΥΛΛΟ ΑΠΟΛΟΓΙΣΜΟΥ'!G18&gt;0,'ΦΥΛΛΟ ΑΠΟΛΟΓΙΣΜΟΥ'!C18," ")</f>
        <v>1970.i</v>
      </c>
      <c r="B14" s="39">
        <f>IF('ΦΥΛΛΟ ΑΠΟΛΟΓΙΣΜΟΥ'!G18&gt;0,'ΦΥΛΛΟ ΑΠΟΛΟΓΙΣΜΟΥ'!B18," ")</f>
        <v>50040879</v>
      </c>
      <c r="C14" s="41">
        <f>IF('ΦΥΛΛΟ ΑΠΟΛΟΓΙΣΜΟΥ'!G18&gt;0,'ΦΥΛΛΟ ΑΠΟΛΟΓΙΣΜΟΥ'!G18,0)</f>
        <v>1</v>
      </c>
      <c r="D14" s="47">
        <f>'ΦΥΛΛΟ ΑΠΟΛΟΓΙΣΜΟΥ'!F18</f>
        <v>50</v>
      </c>
      <c r="E14" s="53">
        <f t="shared" si="1"/>
        <v>50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36" t="str">
        <f>IF('ΦΥΛΛΟ ΑΠΟΛΟΓΙΣΜΟΥ'!G19&gt;0,'ΦΥΛΛΟ ΑΠΟΛΟΓΙΣΜΟΥ'!C19," ")</f>
        <v> </v>
      </c>
      <c r="B15" s="39" t="str">
        <f>IF('ΦΥΛΛΟ ΑΠΟΛΟΓΙΣΜΟΥ'!G19&gt;0,'ΦΥΛΛΟ ΑΠΟΛΟΓΙΣΜΟΥ'!B19," ")</f>
        <v> </v>
      </c>
      <c r="C15" s="41">
        <f>IF('ΦΥΛΛΟ ΑΠΟΛΟΓΙΣΜΟΥ'!G19&gt;0,'ΦΥΛΛΟ ΑΠΟΛΟΓΙΣΜΟΥ'!G19,0)</f>
        <v>0</v>
      </c>
      <c r="D15" s="47">
        <f>'ΦΥΛΛΟ ΑΠΟΛΟΓΙΣΜΟΥ'!F19</f>
        <v>100</v>
      </c>
      <c r="E15" s="53">
        <f t="shared" si="1"/>
        <v>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36" t="str">
        <f>IF('ΦΥΛΛΟ ΑΠΟΛΟΓΙΣΜΟΥ'!G20&gt;0,'ΦΥΛΛΟ ΑΠΟΛΟΓΙΣΜΟΥ'!C20," ")</f>
        <v> </v>
      </c>
      <c r="B16" s="39" t="str">
        <f>IF('ΦΥΛΛΟ ΑΠΟΛΟΓΙΣΜΟΥ'!G20&gt;0,'ΦΥΛΛΟ ΑΠΟΛΟΓΙΣΜΟΥ'!B20," ")</f>
        <v> </v>
      </c>
      <c r="C16" s="41">
        <f>IF('ΦΥΛΛΟ ΑΠΟΛΟΓΙΣΜΟΥ'!G20&gt;0,'ΦΥΛΛΟ ΑΠΟΛΟΓΙΣΜΟΥ'!G20,0)</f>
        <v>0</v>
      </c>
      <c r="D16" s="47">
        <f>'ΦΥΛΛΟ ΑΠΟΛΟΓΙΣΜΟΥ'!F20</f>
        <v>175</v>
      </c>
      <c r="E16" s="53">
        <f t="shared" si="1"/>
        <v>0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6" t="str">
        <f>IF('ΦΥΛΛΟ ΑΠΟΛΟΓΙΣΜΟΥ'!G21&gt;0,'ΦΥΛΛΟ ΑΠΟΛΟΓΙΣΜΟΥ'!C21," ")</f>
        <v> </v>
      </c>
      <c r="B17" s="39" t="str">
        <f>IF('ΦΥΛΛΟ ΑΠΟΛΟΓΙΣΜΟΥ'!G21&gt;0,'ΦΥΛΛΟ ΑΠΟΛΟΓΙΣΜΟΥ'!B21," ")</f>
        <v> </v>
      </c>
      <c r="C17" s="41">
        <f>IF('ΦΥΛΛΟ ΑΠΟΛΟΓΙΣΜΟΥ'!G21&gt;0,'ΦΥΛΛΟ ΑΠΟΛΟΓΙΣΜΟΥ'!G21,0)</f>
        <v>0</v>
      </c>
      <c r="D17" s="47">
        <f>'ΦΥΛΛΟ ΑΠΟΛΟΓΙΣΜΟΥ'!F21</f>
        <v>30</v>
      </c>
      <c r="E17" s="53">
        <f t="shared" si="1"/>
        <v>0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36" t="str">
        <f>IF('ΦΥΛΛΟ ΑΠΟΛΟΓΙΣΜΟΥ'!G22&gt;0,'ΦΥΛΛΟ ΑΠΟΛΟΓΙΣΜΟΥ'!C22," ")</f>
        <v>1970.v</v>
      </c>
      <c r="B18" s="39">
        <f>IF('ΦΥΛΛΟ ΑΠΟΛΟΓΙΣΜΟΥ'!G22&gt;0,'ΦΥΛΛΟ ΑΠΟΛΟΓΙΣΜΟΥ'!B22," ")</f>
        <v>50040883</v>
      </c>
      <c r="C18" s="41">
        <f>IF('ΦΥΛΛΟ ΑΠΟΛΟΓΙΣΜΟΥ'!G22&gt;0,'ΦΥΛΛΟ ΑΠΟΛΟΓΙΣΜΟΥ'!G22,0)</f>
        <v>1</v>
      </c>
      <c r="D18" s="47">
        <f>'ΦΥΛΛΟ ΑΠΟΛΟΓΙΣΜΟΥ'!F22</f>
        <v>50</v>
      </c>
      <c r="E18" s="53">
        <f t="shared" si="1"/>
        <v>50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6" t="str">
        <f>IF('ΦΥΛΛΟ ΑΠΟΛΟΓΙΣΜΟΥ'!G23&gt;0,'ΦΥΛΛΟ ΑΠΟΛΟΓΙΣΜΟΥ'!C23," ")</f>
        <v> </v>
      </c>
      <c r="B19" s="39" t="str">
        <f>IF('ΦΥΛΛΟ ΑΠΟΛΟΓΙΣΜΟΥ'!G23&gt;0,'ΦΥΛΛΟ ΑΠΟΛΟΓΙΣΜΟΥ'!B23," ")</f>
        <v> </v>
      </c>
      <c r="C19" s="41">
        <f>IF('ΦΥΛΛΟ ΑΠΟΛΟΓΙΣΜΟΥ'!G23&gt;0,'ΦΥΛΛΟ ΑΠΟΛΟΓΙΣΜΟΥ'!G23,0)</f>
        <v>0</v>
      </c>
      <c r="D19" s="47">
        <f>'ΦΥΛΛΟ ΑΠΟΛΟΓΙΣΜΟΥ'!F23</f>
        <v>45</v>
      </c>
      <c r="E19" s="53">
        <f t="shared" si="1"/>
        <v>0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36" t="str">
        <f>IF('ΦΥΛΛΟ ΑΠΟΛΟΓΙΣΜΟΥ'!G24&gt;0,'ΦΥΛΛΟ ΑΠΟΛΟΓΙΣΜΟΥ'!C24," ")</f>
        <v> </v>
      </c>
      <c r="B20" s="39" t="str">
        <f>IF('ΦΥΛΛΟ ΑΠΟΛΟΓΙΣΜΟΥ'!G24&gt;0,'ΦΥΛΛΟ ΑΠΟΛΟΓΙΣΜΟΥ'!B24," ")</f>
        <v> </v>
      </c>
      <c r="C20" s="41">
        <f>IF('ΦΥΛΛΟ ΑΠΟΛΟΓΙΣΜΟΥ'!G24&gt;0,'ΦΥΛΛΟ ΑΠΟΛΟΓΙΣΜΟΥ'!G24,0)</f>
        <v>0</v>
      </c>
      <c r="D20" s="47">
        <f>'ΦΥΛΛΟ ΑΠΟΛΟΓΙΣΜΟΥ'!F24</f>
        <v>65</v>
      </c>
      <c r="E20" s="53">
        <f t="shared" si="1"/>
        <v>0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36" t="str">
        <f>IF('ΦΥΛΛΟ ΑΠΟΛΟΓΙΣΜΟΥ'!G25&gt;0,'ΦΥΛΛΟ ΑΠΟΛΟΓΙΣΜΟΥ'!C25," ")</f>
        <v> </v>
      </c>
      <c r="B21" s="39" t="str">
        <f>IF('ΦΥΛΛΟ ΑΠΟΛΟΓΙΣΜΟΥ'!G25&gt;0,'ΦΥΛΛΟ ΑΠΟΛΟΓΙΣΜΟΥ'!B25," ")</f>
        <v> </v>
      </c>
      <c r="C21" s="41">
        <f>IF('ΦΥΛΛΟ ΑΠΟΛΟΓΙΣΜΟΥ'!G25&gt;0,'ΦΥΛΛΟ ΑΠΟΛΟΓΙΣΜΟΥ'!G25,0)</f>
        <v>0</v>
      </c>
      <c r="D21" s="47">
        <f>'ΦΥΛΛΟ ΑΠΟΛΟΓΙΣΜΟΥ'!F25</f>
        <v>190</v>
      </c>
      <c r="E21" s="53">
        <f t="shared" si="1"/>
        <v>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36" t="str">
        <f>IF('ΦΥΛΛΟ ΑΠΟΛΟΓΙΣΜΟΥ'!G26&gt;0,'ΦΥΛΛΟ ΑΠΟΛΟΓΙΣΜΟΥ'!C26," ")</f>
        <v> </v>
      </c>
      <c r="B22" s="39" t="str">
        <f>IF('ΦΥΛΛΟ ΑΠΟΛΟΓΙΣΜΟΥ'!G26&gt;0,'ΦΥΛΛΟ ΑΠΟΛΟΓΙΣΜΟΥ'!B26," ")</f>
        <v> </v>
      </c>
      <c r="C22" s="41">
        <f>IF('ΦΥΛΛΟ ΑΠΟΛΟΓΙΣΜΟΥ'!G26&gt;0,'ΦΥΛΛΟ ΑΠΟΛΟΓΙΣΜΟΥ'!G26,0)</f>
        <v>0</v>
      </c>
      <c r="D22" s="47">
        <f>'ΦΥΛΛΟ ΑΠΟΛΟΓΙΣΜΟΥ'!F26</f>
        <v>280</v>
      </c>
      <c r="E22" s="53">
        <f t="shared" si="1"/>
        <v>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36" t="str">
        <f>IF('ΦΥΛΛΟ ΑΠΟΛΟΓΙΣΜΟΥ'!G27&gt;0,'ΦΥΛΛΟ ΑΠΟΛΟΓΙΣΜΟΥ'!C27," ")</f>
        <v> </v>
      </c>
      <c r="B23" s="39" t="str">
        <f>IF('ΦΥΛΛΟ ΑΠΟΛΟΓΙΣΜΟΥ'!G27&gt;0,'ΦΥΛΛΟ ΑΠΟΛΟΓΙΣΜΟΥ'!B27," ")</f>
        <v> </v>
      </c>
      <c r="C23" s="41">
        <f>IF('ΦΥΛΛΟ ΑΠΟΛΟΓΙΣΜΟΥ'!G27&gt;0,'ΦΥΛΛΟ ΑΠΟΛΟΓΙΣΜΟΥ'!G27,0)</f>
        <v>0</v>
      </c>
      <c r="D23" s="47">
        <f>'ΦΥΛΛΟ ΑΠΟΛΟΓΙΣΜΟΥ'!F27</f>
        <v>380</v>
      </c>
      <c r="E23" s="53">
        <f t="shared" si="1"/>
        <v>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36" t="str">
        <f>IF('ΦΥΛΛΟ ΑΠΟΛΟΓΙΣΜΟΥ'!G28&gt;0,'ΦΥΛΛΟ ΑΠΟΛΟΓΙΣΜΟΥ'!C28," ")</f>
        <v> </v>
      </c>
      <c r="B24" s="39" t="str">
        <f>IF('ΦΥΛΛΟ ΑΠΟΛΟΓΙΣΜΟΥ'!G28&gt;0,'ΦΥΛΛΟ ΑΠΟΛΟΓΙΣΜΟΥ'!B28," ")</f>
        <v> </v>
      </c>
      <c r="C24" s="41">
        <f>IF('ΦΥΛΛΟ ΑΠΟΛΟΓΙΣΜΟΥ'!G28&gt;0,'ΦΥΛΛΟ ΑΠΟΛΟΓΙΣΜΟΥ'!G28,0)</f>
        <v>0</v>
      </c>
      <c r="D24" s="47">
        <f>'ΦΥΛΛΟ ΑΠΟΛΟΓΙΣΜΟΥ'!F28</f>
        <v>20</v>
      </c>
      <c r="E24" s="53">
        <f t="shared" si="1"/>
        <v>0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36" t="str">
        <f>IF('ΦΥΛΛΟ ΑΠΟΛΟΓΙΣΜΟΥ'!G29&gt;0,'ΦΥΛΛΟ ΑΠΟΛΟΓΙΣΜΟΥ'!C29," ")</f>
        <v> </v>
      </c>
      <c r="B25" s="39" t="str">
        <f>IF('ΦΥΛΛΟ ΑΠΟΛΟΓΙΣΜΟΥ'!G29&gt;0,'ΦΥΛΛΟ ΑΠΟΛΟΓΙΣΜΟΥ'!B29," ")</f>
        <v> </v>
      </c>
      <c r="C25" s="41">
        <f>IF('ΦΥΛΛΟ ΑΠΟΛΟΓΙΣΜΟΥ'!G29&gt;0,'ΦΥΛΛΟ ΑΠΟΛΟΓΙΣΜΟΥ'!G29,0)</f>
        <v>0</v>
      </c>
      <c r="D25" s="47">
        <f>'ΦΥΛΛΟ ΑΠΟΛΟΓΙΣΜΟΥ'!F29</f>
        <v>10</v>
      </c>
      <c r="E25" s="53">
        <f t="shared" si="1"/>
        <v>0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36" t="str">
        <f>IF('ΦΥΛΛΟ ΑΠΟΛΟΓΙΣΜΟΥ'!G30&gt;0,'ΦΥΛΛΟ ΑΠΟΛΟΓΙΣΜΟΥ'!C30," ")</f>
        <v> </v>
      </c>
      <c r="B26" s="39" t="str">
        <f>IF('ΦΥΛΛΟ ΑΠΟΛΟΓΙΣΜΟΥ'!G30&gt;0,'ΦΥΛΛΟ ΑΠΟΛΟΓΙΣΜΟΥ'!B30," ")</f>
        <v> </v>
      </c>
      <c r="C26" s="41">
        <f>IF('ΦΥΛΛΟ ΑΠΟΛΟΓΙΣΜΟΥ'!G30&gt;0,'ΦΥΛΛΟ ΑΠΟΛΟΓΙΣΜΟΥ'!G30,0)</f>
        <v>0</v>
      </c>
      <c r="D26" s="47">
        <f>'ΦΥΛΛΟ ΑΠΟΛΟΓΙΣΜΟΥ'!F30</f>
        <v>40</v>
      </c>
      <c r="E26" s="53">
        <f t="shared" si="1"/>
        <v>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36" t="str">
        <f>IF('ΦΥΛΛΟ ΑΠΟΛΟΓΙΣΜΟΥ'!G31&gt;0,'ΦΥΛΛΟ ΑΠΟΛΟΓΙΣΜΟΥ'!C31," ")</f>
        <v> </v>
      </c>
      <c r="B27" s="39" t="str">
        <f>IF('ΦΥΛΛΟ ΑΠΟΛΟΓΙΣΜΟΥ'!G31&gt;0,'ΦΥΛΛΟ ΑΠΟΛΟΓΙΣΜΟΥ'!B31," ")</f>
        <v> </v>
      </c>
      <c r="C27" s="41">
        <f>IF('ΦΥΛΛΟ ΑΠΟΛΟΓΙΣΜΟΥ'!G31&gt;0,'ΦΥΛΛΟ ΑΠΟΛΟΓΙΣΜΟΥ'!G31,0)</f>
        <v>0</v>
      </c>
      <c r="D27" s="47">
        <f>'ΦΥΛΛΟ ΑΠΟΛΟΓΙΣΜΟΥ'!F31</f>
        <v>30</v>
      </c>
      <c r="E27" s="53">
        <f t="shared" si="1"/>
        <v>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36" t="str">
        <f>IF('ΦΥΛΛΟ ΑΠΟΛΟΓΙΣΜΟΥ'!G32&gt;0,'ΦΥΛΛΟ ΑΠΟΛΟΓΙΣΜΟΥ'!C32," ")</f>
        <v>1980.I.</v>
      </c>
      <c r="B28" s="39">
        <f>IF('ΦΥΛΛΟ ΑΠΟΛΟΓΙΣΜΟΥ'!G32&gt;0,'ΦΥΛΛΟ ΑΠΟΛΟΓΙΣΜΟΥ'!B32," ")</f>
        <v>50024290</v>
      </c>
      <c r="C28" s="41">
        <f>IF('ΦΥΛΛΟ ΑΠΟΛΟΓΙΣΜΟΥ'!G32&gt;0,'ΦΥΛΛΟ ΑΠΟΛΟΓΙΣΜΟΥ'!G32,0)</f>
        <v>1</v>
      </c>
      <c r="D28" s="47">
        <f>'ΦΥΛΛΟ ΑΠΟΛΟΓΙΣΜΟΥ'!F32</f>
        <v>180</v>
      </c>
      <c r="E28" s="53">
        <f t="shared" si="1"/>
        <v>180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36" t="str">
        <f>IF('ΦΥΛΛΟ ΑΠΟΛΟΓΙΣΜΟΥ'!G33&gt;0,'ΦΥΛΛΟ ΑΠΟΛΟΓΙΣΜΟΥ'!C33," ")</f>
        <v> </v>
      </c>
      <c r="B29" s="39" t="str">
        <f>IF('ΦΥΛΛΟ ΑΠΟΛΟΓΙΣΜΟΥ'!G33&gt;0,'ΦΥΛΛΟ ΑΠΟΛΟΓΙΣΜΟΥ'!B33," ")</f>
        <v> </v>
      </c>
      <c r="C29" s="41">
        <f>IF('ΦΥΛΛΟ ΑΠΟΛΟΓΙΣΜΟΥ'!G33&gt;0,'ΦΥΛΛΟ ΑΠΟΛΟΓΙΣΜΟΥ'!G33,0)</f>
        <v>0</v>
      </c>
      <c r="D29" s="47">
        <f>'ΦΥΛΛΟ ΑΠΟΛΟΓΙΣΜΟΥ'!F33</f>
        <v>200</v>
      </c>
      <c r="E29" s="53">
        <f t="shared" si="1"/>
        <v>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36" t="str">
        <f>IF('ΦΥΛΛΟ ΑΠΟΛΟΓΙΣΜΟΥ'!G34&gt;0,'ΦΥΛΛΟ ΑΠΟΛΟΓΙΣΜΟΥ'!C34," ")</f>
        <v> </v>
      </c>
      <c r="B30" s="39" t="str">
        <f>IF('ΦΥΛΛΟ ΑΠΟΛΟΓΙΣΜΟΥ'!G34&gt;0,'ΦΥΛΛΟ ΑΠΟΛΟΓΙΣΜΟΥ'!B34," ")</f>
        <v> </v>
      </c>
      <c r="C30" s="41">
        <f>IF('ΦΥΛΛΟ ΑΠΟΛΟΓΙΣΜΟΥ'!G34&gt;0,'ΦΥΛΛΟ ΑΠΟΛΟΓΙΣΜΟΥ'!G34,0)</f>
        <v>0</v>
      </c>
      <c r="D30" s="47">
        <f>'ΦΥΛΛΟ ΑΠΟΛΟΓΙΣΜΟΥ'!F34</f>
        <v>55</v>
      </c>
      <c r="E30" s="53">
        <f t="shared" si="1"/>
        <v>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36" t="str">
        <f>IF('ΦΥΛΛΟ ΑΠΟΛΟΓΙΣΜΟΥ'!G35&gt;0,'ΦΥΛΛΟ ΑΠΟΛΟΓΙΣΜΟΥ'!C35," ")</f>
        <v>1985.2</v>
      </c>
      <c r="B31" s="39">
        <f>IF('ΦΥΛΛΟ ΑΠΟΛΟΓΙΣΜΟΥ'!G35&gt;0,'ΦΥΛΛΟ ΑΠΟΛΟΓΙΣΜΟΥ'!B35," ")</f>
        <v>50024293</v>
      </c>
      <c r="C31" s="41">
        <f>IF('ΦΥΛΛΟ ΑΠΟΛΟΓΙΣΜΟΥ'!G35&gt;0,'ΦΥΛΛΟ ΑΠΟΛΟΓΙΣΜΟΥ'!G35,0)</f>
        <v>4</v>
      </c>
      <c r="D31" s="47">
        <f>'ΦΥΛΛΟ ΑΠΟΛΟΓΙΣΜΟΥ'!F35</f>
        <v>65</v>
      </c>
      <c r="E31" s="53">
        <f t="shared" si="1"/>
        <v>260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36" t="str">
        <f>IF('ΦΥΛΛΟ ΑΠΟΛΟΓΙΣΜΟΥ'!G36&gt;0,'ΦΥΛΛΟ ΑΠΟΛΟΓΙΣΜΟΥ'!C36," ")</f>
        <v> </v>
      </c>
      <c r="B32" s="39" t="str">
        <f>IF('ΦΥΛΛΟ ΑΠΟΛΟΓΙΣΜΟΥ'!G36&gt;0,'ΦΥΛΛΟ ΑΠΟΛΟΓΙΣΜΟΥ'!B36," ")</f>
        <v> </v>
      </c>
      <c r="C32" s="41">
        <f>IF('ΦΥΛΛΟ ΑΠΟΛΟΓΙΣΜΟΥ'!G36&gt;0,'ΦΥΛΛΟ ΑΠΟΛΟΓΙΣΜΟΥ'!G36,0)</f>
        <v>0</v>
      </c>
      <c r="D32" s="47">
        <f>'ΦΥΛΛΟ ΑΠΟΛΟΓΙΣΜΟΥ'!F36</f>
        <v>230</v>
      </c>
      <c r="E32" s="53">
        <f t="shared" si="1"/>
        <v>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36" t="str">
        <f>IF('ΦΥΛΛΟ ΑΠΟΛΟΓΙΣΜΟΥ'!G37&gt;0,'ΦΥΛΛΟ ΑΠΟΛΟΓΙΣΜΟΥ'!C37," ")</f>
        <v> </v>
      </c>
      <c r="B33" s="39" t="str">
        <f>IF('ΦΥΛΛΟ ΑΠΟΛΟΓΙΣΜΟΥ'!G37&gt;0,'ΦΥΛΛΟ ΑΠΟΛΟΓΙΣΜΟΥ'!B37," ")</f>
        <v> </v>
      </c>
      <c r="C33" s="41">
        <f>IF('ΦΥΛΛΟ ΑΠΟΛΟΓΙΣΜΟΥ'!G37&gt;0,'ΦΥΛΛΟ ΑΠΟΛΟΓΙΣΜΟΥ'!G37,0)</f>
        <v>0</v>
      </c>
      <c r="D33" s="47">
        <f>'ΦΥΛΛΟ ΑΠΟΛΟΓΙΣΜΟΥ'!F37</f>
        <v>40</v>
      </c>
      <c r="E33" s="53">
        <f t="shared" si="1"/>
        <v>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36" t="str">
        <f>IF('ΦΥΛΛΟ ΑΠΟΛΟΓΙΣΜΟΥ'!G38&gt;0,'ΦΥΛΛΟ ΑΠΟΛΟΓΙΣΜΟΥ'!C38," ")</f>
        <v> </v>
      </c>
      <c r="B34" s="39" t="str">
        <f>IF('ΦΥΛΛΟ ΑΠΟΛΟΓΙΣΜΟΥ'!G38&gt;0,'ΦΥΛΛΟ ΑΠΟΛΟΓΙΣΜΟΥ'!B38," ")</f>
        <v> </v>
      </c>
      <c r="C34" s="41">
        <f>IF('ΦΥΛΛΟ ΑΠΟΛΟΓΙΣΜΟΥ'!G38&gt;0,'ΦΥΛΛΟ ΑΠΟΛΟΓΙΣΜΟΥ'!G38,0)</f>
        <v>0</v>
      </c>
      <c r="D34" s="47">
        <f>'ΦΥΛΛΟ ΑΠΟΛΟΓΙΣΜΟΥ'!F38</f>
        <v>65</v>
      </c>
      <c r="E34" s="53">
        <f t="shared" si="1"/>
        <v>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36" t="str">
        <f>IF('ΦΥΛΛΟ ΑΠΟΛΟΓΙΣΜΟΥ'!G39&gt;0,'ΦΥΛΛΟ ΑΠΟΛΟΓΙΣΜΟΥ'!C39," ")</f>
        <v> </v>
      </c>
      <c r="B35" s="39" t="str">
        <f>IF('ΦΥΛΛΟ ΑΠΟΛΟΓΙΣΜΟΥ'!G39&gt;0,'ΦΥΛΛΟ ΑΠΟΛΟΓΙΣΜΟΥ'!B39," ")</f>
        <v> </v>
      </c>
      <c r="C35" s="41">
        <f>IF('ΦΥΛΛΟ ΑΠΟΛΟΓΙΣΜΟΥ'!G39&gt;0,'ΦΥΛΛΟ ΑΠΟΛΟΓΙΣΜΟΥ'!G39,0)</f>
        <v>0</v>
      </c>
      <c r="D35" s="47">
        <f>'ΦΥΛΛΟ ΑΠΟΛΟΓΙΣΜΟΥ'!F39</f>
        <v>35</v>
      </c>
      <c r="E35" s="53">
        <f t="shared" si="1"/>
        <v>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36" t="str">
        <f>IF('ΦΥΛΛΟ ΑΠΟΛΟΓΙΣΜΟΥ'!G40&gt;0,'ΦΥΛΛΟ ΑΠΟΛΟΓΙΣΜΟΥ'!C40," ")</f>
        <v>1986.III.</v>
      </c>
      <c r="B36" s="39">
        <f>IF('ΦΥΛΛΟ ΑΠΟΛΟΓΙΣΜΟΥ'!G40&gt;0,'ΦΥΛΛΟ ΑΠΟΛΟΓΙΣΜΟΥ'!B40," ")</f>
        <v>50040886</v>
      </c>
      <c r="C36" s="41">
        <f>IF('ΦΥΛΛΟ ΑΠΟΛΟΓΙΣΜΟΥ'!G40&gt;0,'ΦΥΛΛΟ ΑΠΟΛΟΓΙΣΜΟΥ'!G40,0)</f>
        <v>3</v>
      </c>
      <c r="D36" s="47">
        <f>'ΦΥΛΛΟ ΑΠΟΛΟΓΙΣΜΟΥ'!F40</f>
        <v>82</v>
      </c>
      <c r="E36" s="53">
        <f t="shared" si="1"/>
        <v>246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36" t="str">
        <f>IF('ΦΥΛΛΟ ΑΠΟΛΟΓΙΣΜΟΥ'!G41&gt;0,'ΦΥΛΛΟ ΑΠΟΛΟΓΙΣΜΟΥ'!C41," ")</f>
        <v>1986.IV.</v>
      </c>
      <c r="B37" s="39">
        <f>IF('ΦΥΛΛΟ ΑΠΟΛΟΓΙΣΜΟΥ'!G41&gt;0,'ΦΥΛΛΟ ΑΠΟΛΟΓΙΣΜΟΥ'!B41," ")</f>
        <v>50040887</v>
      </c>
      <c r="C37" s="41">
        <f>IF('ΦΥΛΛΟ ΑΠΟΛΟΓΙΣΜΟΥ'!G41&gt;0,'ΦΥΛΛΟ ΑΠΟΛΟΓΙΣΜΟΥ'!G41,0)</f>
        <v>1</v>
      </c>
      <c r="D37" s="47">
        <f>'ΦΥΛΛΟ ΑΠΟΛΟΓΙΣΜΟΥ'!F41</f>
        <v>52</v>
      </c>
      <c r="E37" s="53">
        <f t="shared" si="1"/>
        <v>52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36" t="str">
        <f>IF('ΦΥΛΛΟ ΑΠΟΛΟΓΙΣΜΟΥ'!G42&gt;0,'ΦΥΛΛΟ ΑΠΟΛΟΓΙΣΜΟΥ'!C42," ")</f>
        <v> </v>
      </c>
      <c r="B38" s="39" t="str">
        <f>IF('ΦΥΛΛΟ ΑΠΟΛΟΓΙΣΜΟΥ'!G42&gt;0,'ΦΥΛΛΟ ΑΠΟΛΟΓΙΣΜΟΥ'!B42," ")</f>
        <v> </v>
      </c>
      <c r="C38" s="41">
        <f>IF('ΦΥΛΛΟ ΑΠΟΛΟΓΙΣΜΟΥ'!G42&gt;0,'ΦΥΛΛΟ ΑΠΟΛΟΓΙΣΜΟΥ'!G42,0)</f>
        <v>0</v>
      </c>
      <c r="D38" s="47">
        <f>'ΦΥΛΛΟ ΑΠΟΛΟΓΙΣΜΟΥ'!F42</f>
        <v>35</v>
      </c>
      <c r="E38" s="53">
        <f t="shared" si="1"/>
        <v>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36" t="str">
        <f>IF('ΦΥΛΛΟ ΑΠΟΛΟΓΙΣΜΟΥ'!G43&gt;0,'ΦΥΛΛΟ ΑΠΟΛΟΓΙΣΜΟΥ'!C43," ")</f>
        <v> </v>
      </c>
      <c r="B39" s="39" t="str">
        <f>IF('ΦΥΛΛΟ ΑΠΟΛΟΓΙΣΜΟΥ'!G43&gt;0,'ΦΥΛΛΟ ΑΠΟΛΟΓΙΣΜΟΥ'!B43," ")</f>
        <v> </v>
      </c>
      <c r="C39" s="41">
        <f>IF('ΦΥΛΛΟ ΑΠΟΛΟΓΙΣΜΟΥ'!G43&gt;0,'ΦΥΛΛΟ ΑΠΟΛΟΓΙΣΜΟΥ'!G43,0)</f>
        <v>0</v>
      </c>
      <c r="D39" s="47">
        <f>'ΦΥΛΛΟ ΑΠΟΛΟΓΙΣΜΟΥ'!F43</f>
        <v>65</v>
      </c>
      <c r="E39" s="53">
        <f t="shared" si="1"/>
        <v>0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36" t="str">
        <f>IF('ΦΥΛΛΟ ΑΠΟΛΟΓΙΣΜΟΥ'!G44&gt;0,'ΦΥΛΛΟ ΑΠΟΛΟΓΙΣΜΟΥ'!C44," ")</f>
        <v> </v>
      </c>
      <c r="B40" s="39" t="str">
        <f>IF('ΦΥΛΛΟ ΑΠΟΛΟΓΙΣΜΟΥ'!G44&gt;0,'ΦΥΛΛΟ ΑΠΟΛΟΓΙΣΜΟΥ'!B44," ")</f>
        <v> </v>
      </c>
      <c r="C40" s="41">
        <f>IF('ΦΥΛΛΟ ΑΠΟΛΟΓΙΣΜΟΥ'!G44&gt;0,'ΦΥΛΛΟ ΑΠΟΛΟΓΙΣΜΟΥ'!G44,0)</f>
        <v>0</v>
      </c>
      <c r="D40" s="47">
        <f>'ΦΥΛΛΟ ΑΠΟΛΟΓΙΣΜΟΥ'!F44</f>
        <v>75</v>
      </c>
      <c r="E40" s="53">
        <f t="shared" si="1"/>
        <v>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36" t="str">
        <f>IF('ΦΥΛΛΟ ΑΠΟΛΟΓΙΣΜΟΥ'!G45&gt;0,'ΦΥΛΛΟ ΑΠΟΛΟΓΙΣΜΟΥ'!C45," ")</f>
        <v> </v>
      </c>
      <c r="B41" s="39" t="str">
        <f>IF('ΦΥΛΛΟ ΑΠΟΛΟΓΙΣΜΟΥ'!G45&gt;0,'ΦΥΛΛΟ ΑΠΟΛΟΓΙΣΜΟΥ'!B45," ")</f>
        <v> </v>
      </c>
      <c r="C41" s="41">
        <f>IF('ΦΥΛΛΟ ΑΠΟΛΟΓΙΣΜΟΥ'!G45&gt;0,'ΦΥΛΛΟ ΑΠΟΛΟΓΙΣΜΟΥ'!G45,0)</f>
        <v>0</v>
      </c>
      <c r="D41" s="47">
        <f>'ΦΥΛΛΟ ΑΠΟΛΟΓΙΣΜΟΥ'!F45</f>
        <v>105</v>
      </c>
      <c r="E41" s="53">
        <f t="shared" si="1"/>
        <v>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36" t="str">
        <f>IF('ΦΥΛΛΟ ΑΠΟΛΟΓΙΣΜΟΥ'!G46&gt;0,'ΦΥΛΛΟ ΑΠΟΛΟΓΙΣΜΟΥ'!C46," ")</f>
        <v> </v>
      </c>
      <c r="B42" s="39" t="str">
        <f>IF('ΦΥΛΛΟ ΑΠΟΛΟΓΙΣΜΟΥ'!G46&gt;0,'ΦΥΛΛΟ ΑΠΟΛΟΓΙΣΜΟΥ'!B46," ")</f>
        <v> </v>
      </c>
      <c r="C42" s="41">
        <f>IF('ΦΥΛΛΟ ΑΠΟΛΟΓΙΣΜΟΥ'!G46&gt;0,'ΦΥΛΛΟ ΑΠΟΛΟΓΙΣΜΟΥ'!G46,0)</f>
        <v>0</v>
      </c>
      <c r="D42" s="47">
        <f>'ΦΥΛΛΟ ΑΠΟΛΟΓΙΣΜΟΥ'!F46</f>
        <v>50</v>
      </c>
      <c r="E42" s="53">
        <f t="shared" si="1"/>
        <v>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36" t="str">
        <f>IF('ΦΥΛΛΟ ΑΠΟΛΟΓΙΣΜΟΥ'!G47&gt;0,'ΦΥΛΛΟ ΑΠΟΛΟΓΙΣΜΟΥ'!C47," ")</f>
        <v> </v>
      </c>
      <c r="B43" s="39" t="str">
        <f>IF('ΦΥΛΛΟ ΑΠΟΛΟΓΙΣΜΟΥ'!G47&gt;0,'ΦΥΛΛΟ ΑΠΟΛΟΓΙΣΜΟΥ'!B47," ")</f>
        <v> </v>
      </c>
      <c r="C43" s="41">
        <f>IF('ΦΥΛΛΟ ΑΠΟΛΟΓΙΣΜΟΥ'!G47&gt;0,'ΦΥΛΛΟ ΑΠΟΛΟΓΙΣΜΟΥ'!G47,0)</f>
        <v>0</v>
      </c>
      <c r="D43" s="47">
        <f>'ΦΥΛΛΟ ΑΠΟΛΟΓΙΣΜΟΥ'!F47</f>
        <v>45</v>
      </c>
      <c r="E43" s="53">
        <f t="shared" si="1"/>
        <v>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36" t="str">
        <f>IF('ΦΥΛΛΟ ΑΠΟΛΟΓΙΣΜΟΥ'!G48&gt;0,'ΦΥΛΛΟ ΑΠΟΛΟΓΙΣΜΟΥ'!C48," ")</f>
        <v> </v>
      </c>
      <c r="B44" s="39" t="str">
        <f>IF('ΦΥΛΛΟ ΑΠΟΛΟΓΙΣΜΟΥ'!G48&gt;0,'ΦΥΛΛΟ ΑΠΟΛΟΓΙΣΜΟΥ'!B48," ")</f>
        <v> </v>
      </c>
      <c r="C44" s="41">
        <f>IF('ΦΥΛΛΟ ΑΠΟΛΟΓΙΣΜΟΥ'!G48&gt;0,'ΦΥΛΛΟ ΑΠΟΛΟΓΙΣΜΟΥ'!G48,0)</f>
        <v>0</v>
      </c>
      <c r="D44" s="47">
        <f>'ΦΥΛΛΟ ΑΠΟΛΟΓΙΣΜΟΥ'!F48</f>
        <v>180</v>
      </c>
      <c r="E44" s="53">
        <f t="shared" si="1"/>
        <v>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36" t="str">
        <f>IF('ΦΥΛΛΟ ΑΠΟΛΟΓΙΣΜΟΥ'!G49&gt;0,'ΦΥΛΛΟ ΑΠΟΛΟΓΙΣΜΟΥ'!C49," ")</f>
        <v> </v>
      </c>
      <c r="B45" s="39" t="str">
        <f>IF('ΦΥΛΛΟ ΑΠΟΛΟΓΙΣΜΟΥ'!G49&gt;0,'ΦΥΛΛΟ ΑΠΟΛΟΓΙΣΜΟΥ'!B49," ")</f>
        <v> </v>
      </c>
      <c r="C45" s="41">
        <f>IF('ΦΥΛΛΟ ΑΠΟΛΟΓΙΣΜΟΥ'!G49&gt;0,'ΦΥΛΛΟ ΑΠΟΛΟΓΙΣΜΟΥ'!G49,0)</f>
        <v>0</v>
      </c>
      <c r="D45" s="47">
        <f>'ΦΥΛΛΟ ΑΠΟΛΟΓΙΣΜΟΥ'!F49</f>
        <v>110</v>
      </c>
      <c r="E45" s="53">
        <f t="shared" si="1"/>
        <v>0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36" t="str">
        <f>IF('ΦΥΛΛΟ ΑΠΟΛΟΓΙΣΜΟΥ'!G50&gt;0,'ΦΥΛΛΟ ΑΠΟΛΟΓΙΣΜΟΥ'!C50," ")</f>
        <v> </v>
      </c>
      <c r="B46" s="39" t="str">
        <f>IF('ΦΥΛΛΟ ΑΠΟΛΟΓΙΣΜΟΥ'!G50&gt;0,'ΦΥΛΛΟ ΑΠΟΛΟΓΙΣΜΟΥ'!B50," ")</f>
        <v> </v>
      </c>
      <c r="C46" s="41">
        <f>IF('ΦΥΛΛΟ ΑΠΟΛΟΓΙΣΜΟΥ'!G50&gt;0,'ΦΥΛΛΟ ΑΠΟΛΟΓΙΣΜΟΥ'!G50,0)</f>
        <v>0</v>
      </c>
      <c r="D46" s="47">
        <f>'ΦΥΛΛΟ ΑΠΟΛΟΓΙΣΜΟΥ'!F50</f>
        <v>30</v>
      </c>
      <c r="E46" s="53">
        <f t="shared" si="1"/>
        <v>0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36" t="str">
        <f>IF('ΦΥΛΛΟ ΑΠΟΛΟΓΙΣΜΟΥ'!G51&gt;0,'ΦΥΛΛΟ ΑΠΟΛΟΓΙΣΜΟΥ'!C51," ")</f>
        <v> </v>
      </c>
      <c r="B47" s="39" t="str">
        <f>IF('ΦΥΛΛΟ ΑΠΟΛΟΓΙΣΜΟΥ'!G51&gt;0,'ΦΥΛΛΟ ΑΠΟΛΟΓΙΣΜΟΥ'!B51," ")</f>
        <v> </v>
      </c>
      <c r="C47" s="41">
        <f>IF('ΦΥΛΛΟ ΑΠΟΛΟΓΙΣΜΟΥ'!G51&gt;0,'ΦΥΛΛΟ ΑΠΟΛΟΓΙΣΜΟΥ'!G51,0)</f>
        <v>0</v>
      </c>
      <c r="D47" s="47">
        <f>'ΦΥΛΛΟ ΑΠΟΛΟΓΙΣΜΟΥ'!F51</f>
        <v>50</v>
      </c>
      <c r="E47" s="53">
        <f t="shared" si="1"/>
        <v>0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36" t="str">
        <f>IF('ΦΥΛΛΟ ΑΠΟΛΟΓΙΣΜΟΥ'!G52&gt;0,'ΦΥΛΛΟ ΑΠΟΛΟΓΙΣΜΟΥ'!C52," ")</f>
        <v> </v>
      </c>
      <c r="B48" s="39" t="str">
        <f>IF('ΦΥΛΛΟ ΑΠΟΛΟΓΙΣΜΟΥ'!G52&gt;0,'ΦΥΛΛΟ ΑΠΟΛΟΓΙΣΜΟΥ'!B52," ")</f>
        <v> </v>
      </c>
      <c r="C48" s="41">
        <f>IF('ΦΥΛΛΟ ΑΠΟΛΟΓΙΣΜΟΥ'!G52&gt;0,'ΦΥΛΛΟ ΑΠΟΛΟΓΙΣΜΟΥ'!G52,0)</f>
        <v>0</v>
      </c>
      <c r="D48" s="47">
        <f>'ΦΥΛΛΟ ΑΠΟΛΟΓΙΣΜΟΥ'!F52</f>
        <v>50</v>
      </c>
      <c r="E48" s="53">
        <f t="shared" si="1"/>
        <v>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36" t="str">
        <f>IF('ΦΥΛΛΟ ΑΠΟΛΟΓΙΣΜΟΥ'!G53&gt;0,'ΦΥΛΛΟ ΑΠΟΛΟΓΙΣΜΟΥ'!C53," ")</f>
        <v> </v>
      </c>
      <c r="B49" s="39" t="str">
        <f>IF('ΦΥΛΛΟ ΑΠΟΛΟΓΙΣΜΟΥ'!G53&gt;0,'ΦΥΛΛΟ ΑΠΟΛΟΓΙΣΜΟΥ'!B53," ")</f>
        <v> </v>
      </c>
      <c r="C49" s="41">
        <f>IF('ΦΥΛΛΟ ΑΠΟΛΟΓΙΣΜΟΥ'!G53&gt;0,'ΦΥΛΛΟ ΑΠΟΛΟΓΙΣΜΟΥ'!G53,0)</f>
        <v>0</v>
      </c>
      <c r="D49" s="47">
        <f>'ΦΥΛΛΟ ΑΠΟΛΟΓΙΣΜΟΥ'!F53</f>
        <v>18</v>
      </c>
      <c r="E49" s="53">
        <f t="shared" si="1"/>
        <v>0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36" t="str">
        <f>IF('ΦΥΛΛΟ ΑΠΟΛΟΓΙΣΜΟΥ'!G54&gt;0,'ΦΥΛΛΟ ΑΠΟΛΟΓΙΣΜΟΥ'!C54," ")</f>
        <v> </v>
      </c>
      <c r="B50" s="39" t="str">
        <f>IF('ΦΥΛΛΟ ΑΠΟΛΟΓΙΣΜΟΥ'!G54&gt;0,'ΦΥΛΛΟ ΑΠΟΛΟΓΙΣΜΟΥ'!B54," ")</f>
        <v> </v>
      </c>
      <c r="C50" s="41">
        <f>IF('ΦΥΛΛΟ ΑΠΟΛΟΓΙΣΜΟΥ'!G54&gt;0,'ΦΥΛΛΟ ΑΠΟΛΟΓΙΣΜΟΥ'!G54,0)</f>
        <v>0</v>
      </c>
      <c r="D50" s="47">
        <f>'ΦΥΛΛΟ ΑΠΟΛΟΓΙΣΜΟΥ'!F54</f>
        <v>120</v>
      </c>
      <c r="E50" s="53">
        <f t="shared" si="1"/>
        <v>0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36" t="str">
        <f>IF('ΦΥΛΛΟ ΑΠΟΛΟΓΙΣΜΟΥ'!G55&gt;0,'ΦΥΛΛΟ ΑΠΟΛΟΓΙΣΜΟΥ'!C55," ")</f>
        <v> </v>
      </c>
      <c r="B51" s="39" t="str">
        <f>IF('ΦΥΛΛΟ ΑΠΟΛΟΓΙΣΜΟΥ'!G55&gt;0,'ΦΥΛΛΟ ΑΠΟΛΟΓΙΣΜΟΥ'!B55," ")</f>
        <v> </v>
      </c>
      <c r="C51" s="41">
        <f>IF('ΦΥΛΛΟ ΑΠΟΛΟΓΙΣΜΟΥ'!G55&gt;0,'ΦΥΛΛΟ ΑΠΟΛΟΓΙΣΜΟΥ'!G55,0)</f>
        <v>0</v>
      </c>
      <c r="D51" s="47">
        <f>'ΦΥΛΛΟ ΑΠΟΛΟΓΙΣΜΟΥ'!F55</f>
        <v>200</v>
      </c>
      <c r="E51" s="53">
        <f t="shared" si="1"/>
        <v>0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36" t="str">
        <f>IF('ΦΥΛΛΟ ΑΠΟΛΟΓΙΣΜΟΥ'!G56&gt;0,'ΦΥΛΛΟ ΑΠΟΛΟΓΙΣΜΟΥ'!C56," ")</f>
        <v> </v>
      </c>
      <c r="B52" s="39" t="str">
        <f>IF('ΦΥΛΛΟ ΑΠΟΛΟΓΙΣΜΟΥ'!G56&gt;0,'ΦΥΛΛΟ ΑΠΟΛΟΓΙΣΜΟΥ'!B56," ")</f>
        <v> </v>
      </c>
      <c r="C52" s="41">
        <f>IF('ΦΥΛΛΟ ΑΠΟΛΟΓΙΣΜΟΥ'!G56&gt;0,'ΦΥΛΛΟ ΑΠΟΛΟΓΙΣΜΟΥ'!G56,0)</f>
        <v>0</v>
      </c>
      <c r="D52" s="47">
        <f>'ΦΥΛΛΟ ΑΠΟΛΟΓΙΣΜΟΥ'!F56</f>
        <v>260</v>
      </c>
      <c r="E52" s="53">
        <f t="shared" si="1"/>
        <v>0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36" t="str">
        <f>IF('ΦΥΛΛΟ ΑΠΟΛΟΓΙΣΜΟΥ'!G57&gt;0,'ΦΥΛΛΟ ΑΠΟΛΟΓΙΣΜΟΥ'!C57," ")</f>
        <v> </v>
      </c>
      <c r="B53" s="39" t="str">
        <f>IF('ΦΥΛΛΟ ΑΠΟΛΟΓΙΣΜΟΥ'!G57&gt;0,'ΦΥΛΛΟ ΑΠΟΛΟΓΙΣΜΟΥ'!B57," ")</f>
        <v> </v>
      </c>
      <c r="C53" s="41">
        <f>IF('ΦΥΛΛΟ ΑΠΟΛΟΓΙΣΜΟΥ'!G57&gt;0,'ΦΥΛΛΟ ΑΠΟΛΟΓΙΣΜΟΥ'!G57,0)</f>
        <v>0</v>
      </c>
      <c r="D53" s="47">
        <f>'ΦΥΛΛΟ ΑΠΟΛΟΓΙΣΜΟΥ'!F57</f>
        <v>150</v>
      </c>
      <c r="E53" s="53">
        <f t="shared" si="1"/>
        <v>0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36" t="str">
        <f>IF('ΦΥΛΛΟ ΑΠΟΛΟΓΙΣΜΟΥ'!G58&gt;0,'ΦΥΛΛΟ ΑΠΟΛΟΓΙΣΜΟΥ'!C58," ")</f>
        <v> </v>
      </c>
      <c r="B54" s="39" t="str">
        <f>IF('ΦΥΛΛΟ ΑΠΟΛΟΓΙΣΜΟΥ'!G58&gt;0,'ΦΥΛΛΟ ΑΠΟΛΟΓΙΣΜΟΥ'!B58," ")</f>
        <v> </v>
      </c>
      <c r="C54" s="41">
        <f>IF('ΦΥΛΛΟ ΑΠΟΛΟΓΙΣΜΟΥ'!G58&gt;0,'ΦΥΛΛΟ ΑΠΟΛΟΓΙΣΜΟΥ'!G58,0)</f>
        <v>0</v>
      </c>
      <c r="D54" s="47">
        <f>'ΦΥΛΛΟ ΑΠΟΛΟΓΙΣΜΟΥ'!F58</f>
        <v>250</v>
      </c>
      <c r="E54" s="53">
        <f t="shared" si="1"/>
        <v>0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36" t="str">
        <f>IF('ΦΥΛΛΟ ΑΠΟΛΟΓΙΣΜΟΥ'!G59&gt;0,'ΦΥΛΛΟ ΑΠΟΛΟΓΙΣΜΟΥ'!C59," ")</f>
        <v> </v>
      </c>
      <c r="B55" s="39" t="str">
        <f>IF('ΦΥΛΛΟ ΑΠΟΛΟΓΙΣΜΟΥ'!G59&gt;0,'ΦΥΛΛΟ ΑΠΟΛΟΓΙΣΜΟΥ'!B59," ")</f>
        <v> </v>
      </c>
      <c r="C55" s="41">
        <f>IF('ΦΥΛΛΟ ΑΠΟΛΟΓΙΣΜΟΥ'!G59&gt;0,'ΦΥΛΛΟ ΑΠΟΛΟΓΙΣΜΟΥ'!G59,0)</f>
        <v>0</v>
      </c>
      <c r="D55" s="47">
        <f>'ΦΥΛΛΟ ΑΠΟΛΟΓΙΣΜΟΥ'!F59</f>
        <v>350</v>
      </c>
      <c r="E55" s="53">
        <f t="shared" si="1"/>
        <v>0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36" t="str">
        <f>IF('ΦΥΛΛΟ ΑΠΟΛΟΓΙΣΜΟΥ'!G60&gt;0,'ΦΥΛΛΟ ΑΠΟΛΟΓΙΣΜΟΥ'!C60," ")</f>
        <v> </v>
      </c>
      <c r="B56" s="39" t="str">
        <f>IF('ΦΥΛΛΟ ΑΠΟΛΟΓΙΣΜΟΥ'!G60&gt;0,'ΦΥΛΛΟ ΑΠΟΛΟΓΙΣΜΟΥ'!B60," ")</f>
        <v> </v>
      </c>
      <c r="C56" s="41">
        <f>IF('ΦΥΛΛΟ ΑΠΟΛΟΓΙΣΜΟΥ'!G60&gt;0,'ΦΥΛΛΟ ΑΠΟΛΟΓΙΣΜΟΥ'!G60,0)</f>
        <v>0</v>
      </c>
      <c r="D56" s="47">
        <f>'ΦΥΛΛΟ ΑΠΟΛΟΓΙΣΜΟΥ'!F60</f>
        <v>120</v>
      </c>
      <c r="E56" s="53">
        <f t="shared" si="1"/>
        <v>0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36" t="str">
        <f>IF('ΦΥΛΛΟ ΑΠΟΛΟΓΙΣΜΟΥ'!G61&gt;0,'ΦΥΛΛΟ ΑΠΟΛΟΓΙΣΜΟΥ'!C61," ")</f>
        <v> </v>
      </c>
      <c r="B57" s="39" t="str">
        <f>IF('ΦΥΛΛΟ ΑΠΟΛΟΓΙΣΜΟΥ'!G61&gt;0,'ΦΥΛΛΟ ΑΠΟΛΟΓΙΣΜΟΥ'!B61," ")</f>
        <v> </v>
      </c>
      <c r="C57" s="41">
        <f>IF('ΦΥΛΛΟ ΑΠΟΛΟΓΙΣΜΟΥ'!G61&gt;0,'ΦΥΛΛΟ ΑΠΟΛΟΓΙΣΜΟΥ'!G61,0)</f>
        <v>0</v>
      </c>
      <c r="D57" s="47">
        <f>'ΦΥΛΛΟ ΑΠΟΛΟΓΙΣΜΟΥ'!F61</f>
        <v>200</v>
      </c>
      <c r="E57" s="53">
        <f t="shared" si="1"/>
        <v>0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36" t="str">
        <f>IF('ΦΥΛΛΟ ΑΠΟΛΟΓΙΣΜΟΥ'!G62&gt;0,'ΦΥΛΛΟ ΑΠΟΛΟΓΙΣΜΟΥ'!C62," ")</f>
        <v> </v>
      </c>
      <c r="B58" s="39" t="str">
        <f>IF('ΦΥΛΛΟ ΑΠΟΛΟΓΙΣΜΟΥ'!G62&gt;0,'ΦΥΛΛΟ ΑΠΟΛΟΓΙΣΜΟΥ'!B62," ")</f>
        <v> </v>
      </c>
      <c r="C58" s="41">
        <f>IF('ΦΥΛΛΟ ΑΠΟΛΟΓΙΣΜΟΥ'!G62&gt;0,'ΦΥΛΛΟ ΑΠΟΛΟΓΙΣΜΟΥ'!G62,0)</f>
        <v>0</v>
      </c>
      <c r="D58" s="47">
        <f>'ΦΥΛΛΟ ΑΠΟΛΟΓΙΣΜΟΥ'!F62</f>
        <v>270</v>
      </c>
      <c r="E58" s="53">
        <f t="shared" si="1"/>
        <v>0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36" t="str">
        <f>IF('ΦΥΛΛΟ ΑΠΟΛΟΓΙΣΜΟΥ'!G63&gt;0,'ΦΥΛΛΟ ΑΠΟΛΟΓΙΣΜΟΥ'!C63," ")</f>
        <v> </v>
      </c>
      <c r="B59" s="39" t="str">
        <f>IF('ΦΥΛΛΟ ΑΠΟΛΟΓΙΣΜΟΥ'!G63&gt;0,'ΦΥΛΛΟ ΑΠΟΛΟΓΙΣΜΟΥ'!B63," ")</f>
        <v> </v>
      </c>
      <c r="C59" s="41">
        <f>IF('ΦΥΛΛΟ ΑΠΟΛΟΓΙΣΜΟΥ'!G63&gt;0,'ΦΥΛΛΟ ΑΠΟΛΟΓΙΣΜΟΥ'!G63,0)</f>
        <v>0</v>
      </c>
      <c r="D59" s="47">
        <f>'ΦΥΛΛΟ ΑΠΟΛΟΓΙΣΜΟΥ'!F63</f>
        <v>340</v>
      </c>
      <c r="E59" s="53">
        <f t="shared" si="1"/>
        <v>0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36" t="str">
        <f>IF('ΦΥΛΛΟ ΑΠΟΛΟΓΙΣΜΟΥ'!G64&gt;0,'ΦΥΛΛΟ ΑΠΟΛΟΓΙΣΜΟΥ'!C64," ")</f>
        <v> </v>
      </c>
      <c r="B60" s="39" t="str">
        <f>IF('ΦΥΛΛΟ ΑΠΟΛΟΓΙΣΜΟΥ'!G64&gt;0,'ΦΥΛΛΟ ΑΠΟΛΟΓΙΣΜΟΥ'!B64," ")</f>
        <v> </v>
      </c>
      <c r="C60" s="41">
        <f>IF('ΦΥΛΛΟ ΑΠΟΛΟΓΙΣΜΟΥ'!G64&gt;0,'ΦΥΛΛΟ ΑΠΟΛΟΓΙΣΜΟΥ'!G64,0)</f>
        <v>0</v>
      </c>
      <c r="D60" s="47">
        <f>'ΦΥΛΛΟ ΑΠΟΛΟΓΙΣΜΟΥ'!F64</f>
        <v>130</v>
      </c>
      <c r="E60" s="53">
        <f t="shared" si="1"/>
        <v>0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36" t="str">
        <f>IF('ΦΥΛΛΟ ΑΠΟΛΟΓΙΣΜΟΥ'!G65&gt;0,'ΦΥΛΛΟ ΑΠΟΛΟΓΙΣΜΟΥ'!C65," ")</f>
        <v> </v>
      </c>
      <c r="B61" s="39" t="str">
        <f>IF('ΦΥΛΛΟ ΑΠΟΛΟΓΙΣΜΟΥ'!G65&gt;0,'ΦΥΛΛΟ ΑΠΟΛΟΓΙΣΜΟΥ'!B65," ")</f>
        <v> </v>
      </c>
      <c r="C61" s="41">
        <f>IF('ΦΥΛΛΟ ΑΠΟΛΟΓΙΣΜΟΥ'!G65&gt;0,'ΦΥΛΛΟ ΑΠΟΛΟΓΙΣΜΟΥ'!G65,0)</f>
        <v>0</v>
      </c>
      <c r="D61" s="47">
        <f>'ΦΥΛΛΟ ΑΠΟΛΟΓΙΣΜΟΥ'!F65</f>
        <v>220</v>
      </c>
      <c r="E61" s="53">
        <f t="shared" si="1"/>
        <v>0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36" t="str">
        <f>IF('ΦΥΛΛΟ ΑΠΟΛΟΓΙΣΜΟΥ'!G66&gt;0,'ΦΥΛΛΟ ΑΠΟΛΟΓΙΣΜΟΥ'!C66," ")</f>
        <v> </v>
      </c>
      <c r="B62" s="39" t="str">
        <f>IF('ΦΥΛΛΟ ΑΠΟΛΟΓΙΣΜΟΥ'!G66&gt;0,'ΦΥΛΛΟ ΑΠΟΛΟΓΙΣΜΟΥ'!B66," ")</f>
        <v> </v>
      </c>
      <c r="C62" s="41">
        <f>IF('ΦΥΛΛΟ ΑΠΟΛΟΓΙΣΜΟΥ'!G66&gt;0,'ΦΥΛΛΟ ΑΠΟΛΟΓΙΣΜΟΥ'!G66,0)</f>
        <v>0</v>
      </c>
      <c r="D62" s="47">
        <f>'ΦΥΛΛΟ ΑΠΟΛΟΓΙΣΜΟΥ'!F66</f>
        <v>300</v>
      </c>
      <c r="E62" s="53">
        <f t="shared" si="1"/>
        <v>0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36" t="str">
        <f>IF('ΦΥΛΛΟ ΑΠΟΛΟΓΙΣΜΟΥ'!G67&gt;0,'ΦΥΛΛΟ ΑΠΟΛΟΓΙΣΜΟΥ'!C67," ")</f>
        <v> </v>
      </c>
      <c r="B63" s="39" t="str">
        <f>IF('ΦΥΛΛΟ ΑΠΟΛΟΓΙΣΜΟΥ'!G67&gt;0,'ΦΥΛΛΟ ΑΠΟΛΟΓΙΣΜΟΥ'!B67," ")</f>
        <v> </v>
      </c>
      <c r="C63" s="41">
        <f>IF('ΦΥΛΛΟ ΑΠΟΛΟΓΙΣΜΟΥ'!G67&gt;0,'ΦΥΛΛΟ ΑΠΟΛΟΓΙΣΜΟΥ'!G67,0)</f>
        <v>0</v>
      </c>
      <c r="D63" s="47">
        <f>'ΦΥΛΛΟ ΑΠΟΛΟΓΙΣΜΟΥ'!F67</f>
        <v>380</v>
      </c>
      <c r="E63" s="53">
        <f t="shared" si="1"/>
        <v>0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36" t="str">
        <f>IF('ΦΥΛΛΟ ΑΠΟΛΟΓΙΣΜΟΥ'!G68&gt;0,'ΦΥΛΛΟ ΑΠΟΛΟΓΙΣΜΟΥ'!C68," ")</f>
        <v> </v>
      </c>
      <c r="B64" s="39" t="str">
        <f>IF('ΦΥΛΛΟ ΑΠΟΛΟΓΙΣΜΟΥ'!G68&gt;0,'ΦΥΛΛΟ ΑΠΟΛΟΓΙΣΜΟΥ'!B68," ")</f>
        <v> </v>
      </c>
      <c r="C64" s="41">
        <f>IF('ΦΥΛΛΟ ΑΠΟΛΟΓΙΣΜΟΥ'!G68&gt;0,'ΦΥΛΛΟ ΑΠΟΛΟΓΙΣΜΟΥ'!G68,0)</f>
        <v>0</v>
      </c>
      <c r="D64" s="47">
        <f>'ΦΥΛΛΟ ΑΠΟΛΟΓΙΣΜΟΥ'!F68</f>
        <v>150</v>
      </c>
      <c r="E64" s="53">
        <f t="shared" si="1"/>
        <v>0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36" t="str">
        <f>IF('ΦΥΛΛΟ ΑΠΟΛΟΓΙΣΜΟΥ'!G69&gt;0,'ΦΥΛΛΟ ΑΠΟΛΟΓΙΣΜΟΥ'!C69," ")</f>
        <v> </v>
      </c>
      <c r="B65" s="39" t="str">
        <f>IF('ΦΥΛΛΟ ΑΠΟΛΟΓΙΣΜΟΥ'!G69&gt;0,'ΦΥΛΛΟ ΑΠΟΛΟΓΙΣΜΟΥ'!B69," ")</f>
        <v> </v>
      </c>
      <c r="C65" s="41">
        <f>IF('ΦΥΛΛΟ ΑΠΟΛΟΓΙΣΜΟΥ'!G69&gt;0,'ΦΥΛΛΟ ΑΠΟΛΟΓΙΣΜΟΥ'!G69,0)</f>
        <v>0</v>
      </c>
      <c r="D65" s="47">
        <f>'ΦΥΛΛΟ ΑΠΟΛΟΓΙΣΜΟΥ'!F69</f>
        <v>100</v>
      </c>
      <c r="E65" s="53">
        <f t="shared" si="1"/>
        <v>0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36" t="str">
        <f>IF('ΦΥΛΛΟ ΑΠΟΛΟΓΙΣΜΟΥ'!G70&gt;0,'ΦΥΛΛΟ ΑΠΟΛΟΓΙΣΜΟΥ'!C70," ")</f>
        <v> </v>
      </c>
      <c r="B66" s="39" t="str">
        <f>IF('ΦΥΛΛΟ ΑΠΟΛΟΓΙΣΜΟΥ'!G70&gt;0,'ΦΥΛΛΟ ΑΠΟΛΟΓΙΣΜΟΥ'!B70," ")</f>
        <v> </v>
      </c>
      <c r="C66" s="41">
        <f>IF('ΦΥΛΛΟ ΑΠΟΛΟΓΙΣΜΟΥ'!G70&gt;0,'ΦΥΛΛΟ ΑΠΟΛΟΓΙΣΜΟΥ'!G70,0)</f>
        <v>0</v>
      </c>
      <c r="D66" s="47">
        <f>'ΦΥΛΛΟ ΑΠΟΛΟΓΙΣΜΟΥ'!F70</f>
        <v>80</v>
      </c>
      <c r="E66" s="53">
        <f t="shared" si="1"/>
        <v>0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36" t="str">
        <f>IF('ΦΥΛΛΟ ΑΠΟΛΟΓΙΣΜΟΥ'!G71&gt;0,'ΦΥΛΛΟ ΑΠΟΛΟΓΙΣΜΟΥ'!C71," ")</f>
        <v> </v>
      </c>
      <c r="B67" s="39" t="str">
        <f>IF('ΦΥΛΛΟ ΑΠΟΛΟΓΙΣΜΟΥ'!G71&gt;0,'ΦΥΛΛΟ ΑΠΟΛΟΓΙΣΜΟΥ'!B71," ")</f>
        <v> </v>
      </c>
      <c r="C67" s="41">
        <f>IF('ΦΥΛΛΟ ΑΠΟΛΟΓΙΣΜΟΥ'!G71&gt;0,'ΦΥΛΛΟ ΑΠΟΛΟΓΙΣΜΟΥ'!G71,0)</f>
        <v>0</v>
      </c>
      <c r="D67" s="47">
        <f>'ΦΥΛΛΟ ΑΠΟΛΟΓΙΣΜΟΥ'!F71</f>
        <v>110</v>
      </c>
      <c r="E67" s="53">
        <f t="shared" si="1"/>
        <v>0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36" t="str">
        <f>IF('ΦΥΛΛΟ ΑΠΟΛΟΓΙΣΜΟΥ'!G72&gt;0,'ΦΥΛΛΟ ΑΠΟΛΟΓΙΣΜΟΥ'!C72," ")</f>
        <v> </v>
      </c>
      <c r="B68" s="39" t="str">
        <f>IF('ΦΥΛΛΟ ΑΠΟΛΟΓΙΣΜΟΥ'!G72&gt;0,'ΦΥΛΛΟ ΑΠΟΛΟΓΙΣΜΟΥ'!B72," ")</f>
        <v> </v>
      </c>
      <c r="C68" s="41">
        <f>IF('ΦΥΛΛΟ ΑΠΟΛΟΓΙΣΜΟΥ'!G72&gt;0,'ΦΥΛΛΟ ΑΠΟΛΟΓΙΣΜΟΥ'!G72,0)</f>
        <v>0</v>
      </c>
      <c r="D68" s="47">
        <f>'ΦΥΛΛΟ ΑΠΟΛΟΓΙΣΜΟΥ'!F72</f>
        <v>40</v>
      </c>
      <c r="E68" s="53">
        <f t="shared" si="1"/>
        <v>0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36" t="str">
        <f>IF('ΦΥΛΛΟ ΑΠΟΛΟΓΙΣΜΟΥ'!G73&gt;0,'ΦΥΛΛΟ ΑΠΟΛΟΓΙΣΜΟΥ'!C73," ")</f>
        <v> </v>
      </c>
      <c r="B69" s="39" t="str">
        <f>IF('ΦΥΛΛΟ ΑΠΟΛΟΓΙΣΜΟΥ'!G73&gt;0,'ΦΥΛΛΟ ΑΠΟΛΟΓΙΣΜΟΥ'!B73," ")</f>
        <v> </v>
      </c>
      <c r="C69" s="41">
        <f>IF('ΦΥΛΛΟ ΑΠΟΛΟΓΙΣΜΟΥ'!G73&gt;0,'ΦΥΛΛΟ ΑΠΟΛΟΓΙΣΜΟΥ'!G73,0)</f>
        <v>0</v>
      </c>
      <c r="D69" s="47">
        <f>'ΦΥΛΛΟ ΑΠΟΛΟΓΙΣΜΟΥ'!F73</f>
        <v>20</v>
      </c>
      <c r="E69" s="53">
        <f t="shared" si="1"/>
        <v>0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36" t="str">
        <f>IF('ΦΥΛΛΟ ΑΠΟΛΟΓΙΣΜΟΥ'!G74&gt;0,'ΦΥΛΛΟ ΑΠΟΛΟΓΙΣΜΟΥ'!C74," ")</f>
        <v> </v>
      </c>
      <c r="B70" s="39" t="str">
        <f>IF('ΦΥΛΛΟ ΑΠΟΛΟΓΙΣΜΟΥ'!G74&gt;0,'ΦΥΛΛΟ ΑΠΟΛΟΓΙΣΜΟΥ'!B74," ")</f>
        <v> </v>
      </c>
      <c r="C70" s="41">
        <f>IF('ΦΥΛΛΟ ΑΠΟΛΟΓΙΣΜΟΥ'!G74&gt;0,'ΦΥΛΛΟ ΑΠΟΛΟΓΙΣΜΟΥ'!G74,0)</f>
        <v>0</v>
      </c>
      <c r="D70" s="47">
        <f>'ΦΥΛΛΟ ΑΠΟΛΟΓΙΣΜΟΥ'!F74</f>
        <v>400</v>
      </c>
      <c r="E70" s="53">
        <f t="shared" si="1"/>
        <v>0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36" t="str">
        <f>IF('ΦΥΛΛΟ ΑΠΟΛΟΓΙΣΜΟΥ'!G75&gt;0,'ΦΥΛΛΟ ΑΠΟΛΟΓΙΣΜΟΥ'!C75," ")</f>
        <v> </v>
      </c>
      <c r="B71" s="39" t="str">
        <f>IF('ΦΥΛΛΟ ΑΠΟΛΟΓΙΣΜΟΥ'!G75&gt;0,'ΦΥΛΛΟ ΑΠΟΛΟΓΙΣΜΟΥ'!B75," ")</f>
        <v> </v>
      </c>
      <c r="C71" s="41">
        <f>IF('ΦΥΛΛΟ ΑΠΟΛΟΓΙΣΜΟΥ'!G75&gt;0,'ΦΥΛΛΟ ΑΠΟΛΟΓΙΣΜΟΥ'!G75,0)</f>
        <v>0</v>
      </c>
      <c r="D71" s="47">
        <f>'ΦΥΛΛΟ ΑΠΟΛΟΓΙΣΜΟΥ'!F75</f>
        <v>320</v>
      </c>
      <c r="E71" s="53">
        <f t="shared" si="1"/>
        <v>0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36" t="str">
        <f>IF('ΦΥΛΛΟ ΑΠΟΛΟΓΙΣΜΟΥ'!G76&gt;0,'ΦΥΛΛΟ ΑΠΟΛΟΓΙΣΜΟΥ'!C76," ")</f>
        <v> </v>
      </c>
      <c r="B72" s="39" t="str">
        <f>IF('ΦΥΛΛΟ ΑΠΟΛΟΓΙΣΜΟΥ'!G76&gt;0,'ΦΥΛΛΟ ΑΠΟΛΟΓΙΣΜΟΥ'!B76," ")</f>
        <v> </v>
      </c>
      <c r="C72" s="41">
        <f>IF('ΦΥΛΛΟ ΑΠΟΛΟΓΙΣΜΟΥ'!G76&gt;0,'ΦΥΛΛΟ ΑΠΟΛΟΓΙΣΜΟΥ'!G76,0)</f>
        <v>0</v>
      </c>
      <c r="D72" s="47">
        <f>'ΦΥΛΛΟ ΑΠΟΛΟΓΙΣΜΟΥ'!F76</f>
        <v>240</v>
      </c>
      <c r="E72" s="53">
        <f t="shared" si="1"/>
        <v>0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36" t="str">
        <f>IF('ΦΥΛΛΟ ΑΠΟΛΟΓΙΣΜΟΥ'!G77&gt;0,'ΦΥΛΛΟ ΑΠΟΛΟΓΙΣΜΟΥ'!C77," ")</f>
        <v> </v>
      </c>
      <c r="B73" s="39" t="str">
        <f>IF('ΦΥΛΛΟ ΑΠΟΛΟΓΙΣΜΟΥ'!G77&gt;0,'ΦΥΛΛΟ ΑΠΟΛΟΓΙΣΜΟΥ'!B77," ")</f>
        <v> </v>
      </c>
      <c r="C73" s="41">
        <f>IF('ΦΥΛΛΟ ΑΠΟΛΟΓΙΣΜΟΥ'!G77&gt;0,'ΦΥΛΛΟ ΑΠΟΛΟΓΙΣΜΟΥ'!G77,0)</f>
        <v>0</v>
      </c>
      <c r="D73" s="47">
        <f>'ΦΥΛΛΟ ΑΠΟΛΟΓΙΣΜΟΥ'!F77</f>
        <v>160</v>
      </c>
      <c r="E73" s="53">
        <f t="shared" si="1"/>
        <v>0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36" t="str">
        <f>IF('ΦΥΛΛΟ ΑΠΟΛΟΓΙΣΜΟΥ'!G78&gt;0,'ΦΥΛΛΟ ΑΠΟΛΟΓΙΣΜΟΥ'!C78," ")</f>
        <v> </v>
      </c>
      <c r="B74" s="39" t="str">
        <f>IF('ΦΥΛΛΟ ΑΠΟΛΟΓΙΣΜΟΥ'!G78&gt;0,'ΦΥΛΛΟ ΑΠΟΛΟΓΙΣΜΟΥ'!B78," ")</f>
        <v> </v>
      </c>
      <c r="C74" s="41">
        <f>IF('ΦΥΛΛΟ ΑΠΟΛΟΓΙΣΜΟΥ'!G78&gt;0,'ΦΥΛΛΟ ΑΠΟΛΟΓΙΣΜΟΥ'!G78,0)</f>
        <v>0</v>
      </c>
      <c r="D74" s="47">
        <f>'ΦΥΛΛΟ ΑΠΟΛΟΓΙΣΜΟΥ'!F78</f>
        <v>90</v>
      </c>
      <c r="E74" s="53">
        <f t="shared" si="1"/>
        <v>0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36" t="str">
        <f>IF('ΦΥΛΛΟ ΑΠΟΛΟΓΙΣΜΟΥ'!G79&gt;0,'ΦΥΛΛΟ ΑΠΟΛΟΓΙΣΜΟΥ'!C79," ")</f>
        <v> </v>
      </c>
      <c r="B75" s="39" t="str">
        <f>IF('ΦΥΛΛΟ ΑΠΟΛΟΓΙΣΜΟΥ'!G79&gt;0,'ΦΥΛΛΟ ΑΠΟΛΟΓΙΣΜΟΥ'!B79," ")</f>
        <v> </v>
      </c>
      <c r="C75" s="41">
        <f>IF('ΦΥΛΛΟ ΑΠΟΛΟΓΙΣΜΟΥ'!G79&gt;0,'ΦΥΛΛΟ ΑΠΟΛΟΓΙΣΜΟΥ'!G79,0)</f>
        <v>0</v>
      </c>
      <c r="D75" s="47">
        <f>'ΦΥΛΛΟ ΑΠΟΛΟΓΙΣΜΟΥ'!F79</f>
        <v>60</v>
      </c>
      <c r="E75" s="53">
        <f t="shared" si="1"/>
        <v>0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36" t="str">
        <f>IF('ΦΥΛΛΟ ΑΠΟΛΟΓΙΣΜΟΥ'!G80&gt;0,'ΦΥΛΛΟ ΑΠΟΛΟΓΙΣΜΟΥ'!C80," ")</f>
        <v> </v>
      </c>
      <c r="B76" s="39" t="str">
        <f>IF('ΦΥΛΛΟ ΑΠΟΛΟΓΙΣΜΟΥ'!G80&gt;0,'ΦΥΛΛΟ ΑΠΟΛΟΓΙΣΜΟΥ'!B80," ")</f>
        <v> </v>
      </c>
      <c r="C76" s="41">
        <f>IF('ΦΥΛΛΟ ΑΠΟΛΟΓΙΣΜΟΥ'!G80&gt;0,'ΦΥΛΛΟ ΑΠΟΛΟΓΙΣΜΟΥ'!G80,0)</f>
        <v>0</v>
      </c>
      <c r="D76" s="47">
        <f>'ΦΥΛΛΟ ΑΠΟΛΟΓΙΣΜΟΥ'!F80</f>
        <v>5</v>
      </c>
      <c r="E76" s="53">
        <f t="shared" si="1"/>
        <v>0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36" t="str">
        <f>IF('ΦΥΛΛΟ ΑΠΟΛΟΓΙΣΜΟΥ'!G81&gt;0,'ΦΥΛΛΟ ΑΠΟΛΟΓΙΣΜΟΥ'!C81," ")</f>
        <v> </v>
      </c>
      <c r="B77" s="39" t="str">
        <f>IF('ΦΥΛΛΟ ΑΠΟΛΟΓΙΣΜΟΥ'!G81&gt;0,'ΦΥΛΛΟ ΑΠΟΛΟΓΙΣΜΟΥ'!B81," ")</f>
        <v> </v>
      </c>
      <c r="C77" s="41">
        <f>IF('ΦΥΛΛΟ ΑΠΟΛΟΓΙΣΜΟΥ'!G81&gt;0,'ΦΥΛΛΟ ΑΠΟΛΟΓΙΣΜΟΥ'!G81,0)</f>
        <v>0</v>
      </c>
      <c r="D77" s="47">
        <f>'ΦΥΛΛΟ ΑΠΟΛΟΓΙΣΜΟΥ'!F81</f>
        <v>10</v>
      </c>
      <c r="E77" s="53">
        <f t="shared" si="1"/>
        <v>0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36" t="str">
        <f>IF('ΦΥΛΛΟ ΑΠΟΛΟΓΙΣΜΟΥ'!G82&gt;0,'ΦΥΛΛΟ ΑΠΟΛΟΓΙΣΜΟΥ'!C82," ")</f>
        <v> </v>
      </c>
      <c r="B78" s="39" t="str">
        <f>IF('ΦΥΛΛΟ ΑΠΟΛΟΓΙΣΜΟΥ'!G82&gt;0,'ΦΥΛΛΟ ΑΠΟΛΟΓΙΣΜΟΥ'!B82," ")</f>
        <v> </v>
      </c>
      <c r="C78" s="41">
        <f>IF('ΦΥΛΛΟ ΑΠΟΛΟΓΙΣΜΟΥ'!G82&gt;0,'ΦΥΛΛΟ ΑΠΟΛΟΓΙΣΜΟΥ'!G82,0)</f>
        <v>0</v>
      </c>
      <c r="D78" s="47">
        <f>'ΦΥΛΛΟ ΑΠΟΛΟΓΙΣΜΟΥ'!F82</f>
        <v>10</v>
      </c>
      <c r="E78" s="53">
        <f t="shared" si="1"/>
        <v>0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36" t="str">
        <f>IF('ΦΥΛΛΟ ΑΠΟΛΟΓΙΣΜΟΥ'!G83&gt;0,'ΦΥΛΛΟ ΑΠΟΛΟΓΙΣΜΟΥ'!C83," ")</f>
        <v>1984.i.</v>
      </c>
      <c r="B79" s="39">
        <f>IF('ΦΥΛΛΟ ΑΠΟΛΟΓΙΣΜΟΥ'!G83&gt;0,'ΦΥΛΛΟ ΑΠΟΛΟΓΙΣΜΟΥ'!B83," ")</f>
        <v>50033850</v>
      </c>
      <c r="C79" s="41">
        <f>IF('ΦΥΛΛΟ ΑΠΟΛΟΓΙΣΜΟΥ'!G83&gt;0,'ΦΥΛΛΟ ΑΠΟΛΟΓΙΣΜΟΥ'!G83,0)</f>
        <v>1</v>
      </c>
      <c r="D79" s="47">
        <f>'ΦΥΛΛΟ ΑΠΟΛΟΓΙΣΜΟΥ'!F83</f>
        <v>80</v>
      </c>
      <c r="E79" s="53">
        <f t="shared" si="1"/>
        <v>80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36" t="str">
        <f>IF('ΦΥΛΛΟ ΑΠΟΛΟΓΙΣΜΟΥ'!G84&gt;0,'ΦΥΛΛΟ ΑΠΟΛΟΓΙΣΜΟΥ'!C84," ")</f>
        <v> </v>
      </c>
      <c r="B80" s="39" t="str">
        <f>IF('ΦΥΛΛΟ ΑΠΟΛΟΓΙΣΜΟΥ'!G84&gt;0,'ΦΥΛΛΟ ΑΠΟΛΟΓΙΣΜΟΥ'!B84," ")</f>
        <v> </v>
      </c>
      <c r="C80" s="41">
        <f>IF('ΦΥΛΛΟ ΑΠΟΛΟΓΙΣΜΟΥ'!G84&gt;0,'ΦΥΛΛΟ ΑΠΟΛΟΓΙΣΜΟΥ'!G84,0)</f>
        <v>0</v>
      </c>
      <c r="D80" s="47">
        <f>'ΦΥΛΛΟ ΑΠΟΛΟΓΙΣΜΟΥ'!F84</f>
        <v>100</v>
      </c>
      <c r="E80" s="53">
        <f t="shared" si="1"/>
        <v>0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36" t="str">
        <f>IF('ΦΥΛΛΟ ΑΠΟΛΟΓΙΣΜΟΥ'!G85&gt;0,'ΦΥΛΛΟ ΑΠΟΛΟΓΙΣΜΟΥ'!C85," ")</f>
        <v> </v>
      </c>
      <c r="B81" s="39" t="str">
        <f>IF('ΦΥΛΛΟ ΑΠΟΛΟΓΙΣΜΟΥ'!G85&gt;0,'ΦΥΛΛΟ ΑΠΟΛΟΓΙΣΜΟΥ'!B85," ")</f>
        <v> </v>
      </c>
      <c r="C81" s="41">
        <f>IF('ΦΥΛΛΟ ΑΠΟΛΟΓΙΣΜΟΥ'!G85&gt;0,'ΦΥΛΛΟ ΑΠΟΛΟΓΙΣΜΟΥ'!G85,0)</f>
        <v>0</v>
      </c>
      <c r="D81" s="47">
        <f>'ΦΥΛΛΟ ΑΠΟΛΟΓΙΣΜΟΥ'!F85</f>
        <v>28.6</v>
      </c>
      <c r="E81" s="53">
        <f t="shared" si="1"/>
        <v>0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36" t="str">
        <f>IF('ΦΥΛΛΟ ΑΠΟΛΟΓΙΣΜΟΥ'!G86&gt;0,'ΦΥΛΛΟ ΑΠΟΛΟΓΙΣΜΟΥ'!C86," ")</f>
        <v> </v>
      </c>
      <c r="B82" s="39" t="str">
        <f>IF('ΦΥΛΛΟ ΑΠΟΛΟΓΙΣΜΟΥ'!G86&gt;0,'ΦΥΛΛΟ ΑΠΟΛΟΓΙΣΜΟΥ'!B86," ")</f>
        <v> </v>
      </c>
      <c r="C82" s="41">
        <f>IF('ΦΥΛΛΟ ΑΠΟΛΟΓΙΣΜΟΥ'!G86&gt;0,'ΦΥΛΛΟ ΑΠΟΛΟΓΙΣΜΟΥ'!G86,0)</f>
        <v>0</v>
      </c>
      <c r="D82" s="47">
        <f>'ΦΥΛΛΟ ΑΠΟΛΟΓΙΣΜΟΥ'!F86</f>
        <v>19.3</v>
      </c>
      <c r="E82" s="53">
        <f t="shared" si="1"/>
        <v>0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36" t="str">
        <f>IF('ΦΥΛΛΟ ΑΠΟΛΟΓΙΣΜΟΥ'!G87&gt;0,'ΦΥΛΛΟ ΑΠΟΛΟΓΙΣΜΟΥ'!C87," ")</f>
        <v> </v>
      </c>
      <c r="B83" s="39" t="str">
        <f>IF('ΦΥΛΛΟ ΑΠΟΛΟΓΙΣΜΟΥ'!G87&gt;0,'ΦΥΛΛΟ ΑΠΟΛΟΓΙΣΜΟΥ'!B87," ")</f>
        <v> </v>
      </c>
      <c r="C83" s="41">
        <f>IF('ΦΥΛΛΟ ΑΠΟΛΟΓΙΣΜΟΥ'!G87&gt;0,'ΦΥΛΛΟ ΑΠΟΛΟΓΙΣΜΟΥ'!G87,0)</f>
        <v>0</v>
      </c>
      <c r="D83" s="47">
        <f>'ΦΥΛΛΟ ΑΠΟΛΟΓΙΣΜΟΥ'!F87</f>
        <v>21</v>
      </c>
      <c r="E83" s="53">
        <f t="shared" si="1"/>
        <v>0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36" t="str">
        <f>IF('ΦΥΛΛΟ ΑΠΟΛΟΓΙΣΜΟΥ'!G88&gt;0,'ΦΥΛΛΟ ΑΠΟΛΟΓΙΣΜΟΥ'!C88," ")</f>
        <v> </v>
      </c>
      <c r="B84" s="39" t="str">
        <f>IF('ΦΥΛΛΟ ΑΠΟΛΟΓΙΣΜΟΥ'!G88&gt;0,'ΦΥΛΛΟ ΑΠΟΛΟΓΙΣΜΟΥ'!B88," ")</f>
        <v> </v>
      </c>
      <c r="C84" s="41">
        <f>IF('ΦΥΛΛΟ ΑΠΟΛΟΓΙΣΜΟΥ'!G88&gt;0,'ΦΥΛΛΟ ΑΠΟΛΟΓΙΣΜΟΥ'!G88,0)</f>
        <v>0</v>
      </c>
      <c r="D84" s="47">
        <f>'ΦΥΛΛΟ ΑΠΟΛΟΓΙΣΜΟΥ'!F88</f>
        <v>93.5</v>
      </c>
      <c r="E84" s="53">
        <f t="shared" si="1"/>
        <v>0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36" t="str">
        <f>IF('ΦΥΛΛΟ ΑΠΟΛΟΓΙΣΜΟΥ'!G89&gt;0,'ΦΥΛΛΟ ΑΠΟΛΟΓΙΣΜΟΥ'!C89," ")</f>
        <v> </v>
      </c>
      <c r="B85" s="39" t="str">
        <f>IF('ΦΥΛΛΟ ΑΠΟΛΟΓΙΣΜΟΥ'!G89&gt;0,'ΦΥΛΛΟ ΑΠΟΛΟΓΙΣΜΟΥ'!B89," ")</f>
        <v> </v>
      </c>
      <c r="C85" s="41">
        <f>IF('ΦΥΛΛΟ ΑΠΟΛΟΓΙΣΜΟΥ'!G89&gt;0,'ΦΥΛΛΟ ΑΠΟΛΟΓΙΣΜΟΥ'!G89,0)</f>
        <v>0</v>
      </c>
      <c r="D85" s="47">
        <f>'ΦΥΛΛΟ ΑΠΟΛΟΓΙΣΜΟΥ'!F89</f>
        <v>68.30107527</v>
      </c>
      <c r="E85" s="53">
        <f t="shared" si="1"/>
        <v>0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36" t="str">
        <f>IF('ΦΥΛΛΟ ΑΠΟΛΟΓΙΣΜΟΥ'!G90&gt;0,'ΦΥΛΛΟ ΑΠΟΛΟΓΙΣΜΟΥ'!C90," ")</f>
        <v> </v>
      </c>
      <c r="B86" s="39" t="str">
        <f>IF('ΦΥΛΛΟ ΑΠΟΛΟΓΙΣΜΟΥ'!G90&gt;0,'ΦΥΛΛΟ ΑΠΟΛΟΓΙΣΜΟΥ'!B90," ")</f>
        <v> </v>
      </c>
      <c r="C86" s="41">
        <f>IF('ΦΥΛΛΟ ΑΠΟΛΟΓΙΣΜΟΥ'!G90&gt;0,'ΦΥΛΛΟ ΑΠΟΛΟΓΙΣΜΟΥ'!G90,0)</f>
        <v>0</v>
      </c>
      <c r="D86" s="47">
        <f>'ΦΥΛΛΟ ΑΠΟΛΟΓΙΣΜΟΥ'!F90</f>
        <v>131.3010753</v>
      </c>
      <c r="E86" s="53">
        <f t="shared" si="1"/>
        <v>0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36" t="str">
        <f>IF('ΦΥΛΛΟ ΑΠΟΛΟΓΙΣΜΟΥ'!G91&gt;0,'ΦΥΛΛΟ ΑΠΟΛΟΓΙΣΜΟΥ'!C91," ")</f>
        <v> </v>
      </c>
      <c r="B87" s="39" t="str">
        <f>IF('ΦΥΛΛΟ ΑΠΟΛΟΓΙΣΜΟΥ'!G91&gt;0,'ΦΥΛΛΟ ΑΠΟΛΟΓΙΣΜΟΥ'!B91," ")</f>
        <v> </v>
      </c>
      <c r="C87" s="41">
        <f>IF('ΦΥΛΛΟ ΑΠΟΛΟΓΙΣΜΟΥ'!G91&gt;0,'ΦΥΛΛΟ ΑΠΟΛΟΓΙΣΜΟΥ'!G91,0)</f>
        <v>0</v>
      </c>
      <c r="D87" s="47">
        <f>'ΦΥΛΛΟ ΑΠΟΛΟΓΙΣΜΟΥ'!F91</f>
        <v>94.5</v>
      </c>
      <c r="E87" s="53">
        <f t="shared" si="1"/>
        <v>0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36" t="str">
        <f>IF('ΦΥΛΛΟ ΑΠΟΛΟΓΙΣΜΟΥ'!G92&gt;0,'ΦΥΛΛΟ ΑΠΟΛΟΓΙΣΜΟΥ'!C92," ")</f>
        <v> </v>
      </c>
      <c r="B88" s="39" t="str">
        <f>IF('ΦΥΛΛΟ ΑΠΟΛΟΓΙΣΜΟΥ'!G92&gt;0,'ΦΥΛΛΟ ΑΠΟΛΟΓΙΣΜΟΥ'!B92," ")</f>
        <v> </v>
      </c>
      <c r="C88" s="41">
        <f>IF('ΦΥΛΛΟ ΑΠΟΛΟΓΙΣΜΟΥ'!G92&gt;0,'ΦΥΛΛΟ ΑΠΟΛΟΓΙΣΜΟΥ'!G92,0)</f>
        <v>0</v>
      </c>
      <c r="D88" s="47">
        <f>'ΦΥΛΛΟ ΑΠΟΛΟΓΙΣΜΟΥ'!F92</f>
        <v>168</v>
      </c>
      <c r="E88" s="53">
        <f t="shared" si="1"/>
        <v>0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36" t="str">
        <f>IF('ΦΥΛΛΟ ΑΠΟΛΟΓΙΣΜΟΥ'!G93&gt;0,'ΦΥΛΛΟ ΑΠΟΛΟΓΙΣΜΟΥ'!C93," ")</f>
        <v> </v>
      </c>
      <c r="B89" s="39" t="str">
        <f>IF('ΦΥΛΛΟ ΑΠΟΛΟΓΙΣΜΟΥ'!G93&gt;0,'ΦΥΛΛΟ ΑΠΟΛΟΓΙΣΜΟΥ'!B93," ")</f>
        <v> </v>
      </c>
      <c r="C89" s="41">
        <f>IF('ΦΥΛΛΟ ΑΠΟΛΟΓΙΣΜΟΥ'!G93&gt;0,'ΦΥΛΛΟ ΑΠΟΛΟΓΙΣΜΟΥ'!G93,0)</f>
        <v>0</v>
      </c>
      <c r="D89" s="47">
        <f>'ΦΥΛΛΟ ΑΠΟΛΟΓΙΣΜΟΥ'!F93</f>
        <v>115.5</v>
      </c>
      <c r="E89" s="53">
        <f t="shared" si="1"/>
        <v>0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36" t="str">
        <f>IF('ΦΥΛΛΟ ΑΠΟΛΟΓΙΣΜΟΥ'!G94&gt;0,'ΦΥΛΛΟ ΑΠΟΛΟΓΙΣΜΟΥ'!C94," ")</f>
        <v> </v>
      </c>
      <c r="B90" s="39" t="str">
        <f>IF('ΦΥΛΛΟ ΑΠΟΛΟΓΙΣΜΟΥ'!G94&gt;0,'ΦΥΛΛΟ ΑΠΟΛΟΓΙΣΜΟΥ'!B94," ")</f>
        <v> </v>
      </c>
      <c r="C90" s="41">
        <f>IF('ΦΥΛΛΟ ΑΠΟΛΟΓΙΣΜΟΥ'!G94&gt;0,'ΦΥΛΛΟ ΑΠΟΛΟΓΙΣΜΟΥ'!G94,0)</f>
        <v>0</v>
      </c>
      <c r="D90" s="47">
        <f>'ΦΥΛΛΟ ΑΠΟΛΟΓΙΣΜΟΥ'!F94</f>
        <v>6.1</v>
      </c>
      <c r="E90" s="53">
        <f t="shared" si="1"/>
        <v>0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36" t="str">
        <f>IF('ΦΥΛΛΟ ΑΠΟΛΟΓΙΣΜΟΥ'!G95&gt;0,'ΦΥΛΛΟ ΑΠΟΛΟΓΙΣΜΟΥ'!C95," ")</f>
        <v> </v>
      </c>
      <c r="B91" s="39" t="str">
        <f>IF('ΦΥΛΛΟ ΑΠΟΛΟΓΙΣΜΟΥ'!G95&gt;0,'ΦΥΛΛΟ ΑΠΟΛΟΓΙΣΜΟΥ'!B95," ")</f>
        <v> </v>
      </c>
      <c r="C91" s="41">
        <f>IF('ΦΥΛΛΟ ΑΠΟΛΟΓΙΣΜΟΥ'!G95&gt;0,'ΦΥΛΛΟ ΑΠΟΛΟΓΙΣΜΟΥ'!G95,0)</f>
        <v>0</v>
      </c>
      <c r="D91" s="47">
        <f>'ΦΥΛΛΟ ΑΠΟΛΟΓΙΣΜΟΥ'!F95</f>
        <v>7.4</v>
      </c>
      <c r="E91" s="53">
        <f t="shared" si="1"/>
        <v>0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6" t="str">
        <f>IF('ΦΥΛΛΟ ΑΠΟΛΟΓΙΣΜΟΥ'!G96&gt;0,'ΦΥΛΛΟ ΑΠΟΛΟΓΙΣΜΟΥ'!C96," ")</f>
        <v> </v>
      </c>
      <c r="B92" s="39" t="str">
        <f>IF('ΦΥΛΛΟ ΑΠΟΛΟΓΙΣΜΟΥ'!G96&gt;0,'ΦΥΛΛΟ ΑΠΟΛΟΓΙΣΜΟΥ'!B96," ")</f>
        <v> </v>
      </c>
      <c r="C92" s="41">
        <f>IF('ΦΥΛΛΟ ΑΠΟΛΟΓΙΣΜΟΥ'!G96&gt;0,'ΦΥΛΛΟ ΑΠΟΛΟΓΙΣΜΟΥ'!G96,0)</f>
        <v>0</v>
      </c>
      <c r="D92" s="47">
        <f>'ΦΥΛΛΟ ΑΠΟΛΟΓΙΣΜΟΥ'!F96</f>
        <v>0.95</v>
      </c>
      <c r="E92" s="53">
        <f t="shared" si="1"/>
        <v>0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24"/>
      <c r="B93" s="124"/>
      <c r="C93" s="125"/>
      <c r="D93" s="125" t="s">
        <v>895</v>
      </c>
      <c r="E93" s="126">
        <f>SUM(E2:E92)</f>
        <v>1488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27" t="s">
        <v>901</v>
      </c>
      <c r="B94" s="128" t="str">
        <f>'ΦΥΛΛΟ ΑΠΟΛΟΓΙΣΜΟΥ'!E97</f>
        <v/>
      </c>
      <c r="C94" s="125"/>
      <c r="D94" s="125" t="s">
        <v>905</v>
      </c>
      <c r="E94" s="126">
        <f>E93*(1-B94)</f>
        <v>1488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conditionalFormatting sqref="A94">
    <cfRule type="cellIs" dxfId="0" priority="1" operator="greaterThan">
      <formula>0</formula>
    </cfRule>
  </conditionalFormatting>
  <conditionalFormatting sqref="A2:C92 E2:E92">
    <cfRule type="cellIs" dxfId="0" priority="2" operator="greaterThan">
      <formula>0</formula>
    </cfRule>
  </conditionalFormatting>
  <dataValidations>
    <dataValidation type="custom" allowBlank="1" showErrorMessage="1" sqref="C1">
      <formula1>LTE(LEN(C1),(40))</formula1>
    </dataValidation>
  </dataValidations>
  <printOptions/>
  <pageMargins bottom="0.75" footer="0.0" header="0.0" left="0.7" right="0.7" top="0.75"/>
  <pageSetup paperSize="9" orientation="portrait"/>
  <drawing r:id="rId1"/>
</worksheet>
</file>